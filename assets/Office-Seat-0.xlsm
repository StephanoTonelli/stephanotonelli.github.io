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EstaPastaDeTrabalho" defaultThemeVersion="166925"/>
  <mc:AlternateContent xmlns:mc="http://schemas.openxmlformats.org/markup-compatibility/2006">
    <mc:Choice Requires="x15">
      <x15ac:absPath xmlns:x15ac="http://schemas.microsoft.com/office/spreadsheetml/2010/11/ac" url="C:\Users\bia_n\stephanotonelli.github.io\assets\"/>
    </mc:Choice>
  </mc:AlternateContent>
  <xr:revisionPtr revIDLastSave="0" documentId="8_{9A8B3501-5AE1-4198-BE68-AC40441D8623}" xr6:coauthVersionLast="47" xr6:coauthVersionMax="47" xr10:uidLastSave="{00000000-0000-0000-0000-000000000000}"/>
  <bookViews>
    <workbookView xWindow="-120" yWindow="-120" windowWidth="20730" windowHeight="11160" activeTab="4" xr2:uid="{1F5872EF-CC11-4EDE-85DC-2A86665519AB}"/>
  </bookViews>
  <sheets>
    <sheet name="Monday" sheetId="13" r:id="rId1"/>
    <sheet name="Tuesday" sheetId="14" r:id="rId2"/>
    <sheet name="Wednesday" sheetId="15" r:id="rId3"/>
    <sheet name="Thursday" sheetId="11" r:id="rId4"/>
    <sheet name="Friday" sheetId="16" r:id="rId5"/>
  </sheet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6" i="16" l="1"/>
  <c r="C10" i="16"/>
  <c r="AC5" i="16"/>
  <c r="C9" i="16"/>
  <c r="AC1" i="16"/>
  <c r="AC2" i="16"/>
  <c r="AC3" i="16"/>
  <c r="AC6" i="15"/>
  <c r="C10" i="15"/>
  <c r="AC5" i="15"/>
  <c r="C9" i="15"/>
  <c r="AC1" i="15"/>
  <c r="AC2" i="15"/>
  <c r="AC3" i="15"/>
  <c r="AC6" i="14"/>
  <c r="C10" i="14"/>
  <c r="AC5" i="14"/>
  <c r="C9" i="14"/>
  <c r="AC1" i="14"/>
  <c r="AC2" i="14"/>
  <c r="AC3" i="14"/>
  <c r="AC6" i="13"/>
  <c r="C10" i="13"/>
  <c r="AC5" i="13"/>
  <c r="C9" i="13"/>
  <c r="AC1" i="13"/>
  <c r="AC2" i="13"/>
  <c r="AC3" i="13"/>
  <c r="AC6" i="11"/>
  <c r="C10" i="11"/>
  <c r="AC5" i="11"/>
  <c r="C9" i="11"/>
  <c r="AC1" i="11"/>
  <c r="AC2" i="11"/>
  <c r="AC3" i="11"/>
</calcChain>
</file>

<file path=xl/sharedStrings.xml><?xml version="1.0" encoding="utf-8"?>
<sst xmlns="http://schemas.openxmlformats.org/spreadsheetml/2006/main" count="285" uniqueCount="53">
  <si>
    <t>Sala Principal</t>
  </si>
  <si>
    <t>Sala de Reunião 1</t>
  </si>
  <si>
    <t>A1</t>
  </si>
  <si>
    <t>A2</t>
  </si>
  <si>
    <t>B1</t>
  </si>
  <si>
    <t>B2</t>
  </si>
  <si>
    <t>C1</t>
  </si>
  <si>
    <t>C2</t>
  </si>
  <si>
    <t>Sala de Reunião 2</t>
  </si>
  <si>
    <t>A3</t>
  </si>
  <si>
    <t>A4</t>
  </si>
  <si>
    <t>B3</t>
  </si>
  <si>
    <t>B4</t>
  </si>
  <si>
    <t>C3</t>
  </si>
  <si>
    <t>C4</t>
  </si>
  <si>
    <t>A5</t>
  </si>
  <si>
    <t>A6</t>
  </si>
  <si>
    <t>B5</t>
  </si>
  <si>
    <t>B6</t>
  </si>
  <si>
    <t>C5</t>
  </si>
  <si>
    <t>C6</t>
  </si>
  <si>
    <t>A7</t>
  </si>
  <si>
    <t>A8</t>
  </si>
  <si>
    <t>B7</t>
  </si>
  <si>
    <t>C7</t>
  </si>
  <si>
    <t>C8</t>
  </si>
  <si>
    <t>Total de Lugares</t>
  </si>
  <si>
    <t>Dia do mês:</t>
  </si>
  <si>
    <t>Hora</t>
  </si>
  <si>
    <t>Reserva</t>
  </si>
  <si>
    <t>8h - 10h</t>
  </si>
  <si>
    <t>10h - 12h</t>
  </si>
  <si>
    <t>12h - 15h</t>
  </si>
  <si>
    <t>15h - 18h</t>
  </si>
  <si>
    <t>Opções de Horario</t>
  </si>
  <si>
    <t>8h - 12h</t>
  </si>
  <si>
    <t>12h - 18h</t>
  </si>
  <si>
    <t>Sala Principal 8h - 12h</t>
  </si>
  <si>
    <t>Sala Principal 12h - 18h</t>
  </si>
  <si>
    <t>Soma</t>
  </si>
  <si>
    <t>Lugares Ocupados 8h - 12h</t>
  </si>
  <si>
    <t>Lugares Ocupados 12h - 18h</t>
  </si>
  <si>
    <t>Lugares Vagos 8h-12h:</t>
  </si>
  <si>
    <t>Lugares Vagos 12h-18h:</t>
  </si>
  <si>
    <t>Day of Month:</t>
  </si>
  <si>
    <t>Free Spots 8h-12h:</t>
  </si>
  <si>
    <t>Free Spots 12h-18h:</t>
  </si>
  <si>
    <t>Main room</t>
  </si>
  <si>
    <t>Meeting room 1</t>
  </si>
  <si>
    <t>Booking</t>
  </si>
  <si>
    <t>Hour</t>
  </si>
  <si>
    <t>Hours</t>
  </si>
  <si>
    <t>Meeting room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</si>
</sst>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0"/>
      <color theme="1"/>
      <name val="Calibri"/>
      <family val="2"/>
      <scheme val="minor"/>
    </font>
    <font>
      <sz val="10"/>
      <color theme="1"/>
      <name val="Calibri"/>
      <family val="2"/>
      <scheme val="minor"/>
    </font>
    <font>
      <sz val="10"/>
      <name val="Calibri"/>
      <family val="2"/>
      <scheme val="minor"/>
    </font>
    <font>
      <sz val="10"/>
      <color theme="0" tint="-4.9989318521683403E-2"/>
      <name val="Calibri"/>
      <family val="2"/>
      <scheme val="minor"/>
    </font>
  </fonts>
  <fills count="9">
    <fill>
      <patternFill patternType="none"/>
    </fill>
    <fill>
      <patternFill patternType="gray125"/>
    </fill>
    <fill>
      <patternFill patternType="solid">
        <fgColor theme="3" tint="0.39997558519241921"/>
        <bgColor indexed="64"/>
      </patternFill>
    </fill>
    <fill>
      <patternFill patternType="solid">
        <fgColor theme="3" tint="0.59999389629810485"/>
        <bgColor indexed="64"/>
      </patternFill>
    </fill>
    <fill>
      <patternFill patternType="solid">
        <fgColor rgb="FF00CC0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2" tint="-0.499984740745262"/>
        <bgColor indexed="64"/>
      </patternFill>
    </fill>
    <fill>
      <patternFill patternType="solid">
        <fgColor theme="2" tint="-9.9978637043366805E-2"/>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diagonal/>
    </border>
    <border>
      <left style="medium">
        <color indexed="64"/>
      </left>
      <right/>
      <top/>
      <bottom style="medium">
        <color indexed="64"/>
      </bottom>
      <diagonal/>
    </border>
  </borders>
  <cellStyleXfs count="1">
    <xf numFmtId="0" fontId="0" fillId="0" borderId="0"/>
  </cellStyleXfs>
  <cellXfs count="40">
    <xf numFmtId="0" fontId="0" fillId="0" borderId="0" xfId="0"/>
    <xf numFmtId="0" fontId="0" fillId="2" borderId="0" xfId="0" applyFill="1" applyAlignment="1">
      <alignment horizontal="center" vertical="center"/>
    </xf>
    <xf numFmtId="0" fontId="0" fillId="2" borderId="0" xfId="0" applyFill="1" applyAlignment="1">
      <alignment vertical="center"/>
    </xf>
    <xf numFmtId="0" fontId="0" fillId="2" borderId="4" xfId="0" applyFill="1" applyBorder="1" applyAlignment="1">
      <alignment horizontal="center" vertical="center"/>
    </xf>
    <xf numFmtId="0" fontId="0" fillId="2" borderId="0" xfId="0" applyFill="1" applyAlignment="1" applyProtection="1">
      <alignment horizontal="center" vertical="center"/>
      <protection locked="0"/>
    </xf>
    <xf numFmtId="14" fontId="0" fillId="2" borderId="9" xfId="0" applyNumberFormat="1" applyFill="1" applyBorder="1" applyAlignment="1">
      <alignment horizontal="center" vertical="center"/>
    </xf>
    <xf numFmtId="0" fontId="0" fillId="2" borderId="9" xfId="0" applyFill="1" applyBorder="1" applyAlignment="1">
      <alignment horizontal="center" vertical="center"/>
    </xf>
    <xf numFmtId="0" fontId="3" fillId="2" borderId="0" xfId="0" applyFont="1" applyFill="1" applyAlignment="1">
      <alignment horizontal="left" vertical="center"/>
    </xf>
    <xf numFmtId="0" fontId="4" fillId="2" borderId="0" xfId="0" applyFont="1" applyFill="1" applyAlignment="1">
      <alignment horizontal="center" vertical="center"/>
    </xf>
    <xf numFmtId="0" fontId="4" fillId="2" borderId="10" xfId="0" applyFont="1" applyFill="1" applyBorder="1" applyAlignment="1">
      <alignment horizontal="center" vertical="center"/>
    </xf>
    <xf numFmtId="0" fontId="4" fillId="8" borderId="11" xfId="0" applyFont="1" applyFill="1" applyBorder="1" applyAlignment="1" applyProtection="1">
      <alignment horizontal="center" vertical="center"/>
      <protection locked="0"/>
    </xf>
    <xf numFmtId="0" fontId="4" fillId="3" borderId="11" xfId="0" applyFont="1" applyFill="1" applyBorder="1" applyAlignment="1" applyProtection="1">
      <alignment horizontal="center" vertical="center"/>
      <protection locked="0"/>
    </xf>
    <xf numFmtId="0" fontId="4" fillId="4" borderId="0" xfId="0" applyFont="1" applyFill="1" applyAlignment="1">
      <alignment horizontal="center" vertical="center"/>
    </xf>
    <xf numFmtId="0" fontId="4" fillId="5" borderId="5" xfId="0" applyFont="1" applyFill="1" applyBorder="1" applyAlignment="1">
      <alignment horizontal="center" vertical="center"/>
    </xf>
    <xf numFmtId="0" fontId="4" fillId="8" borderId="7" xfId="0" applyFont="1" applyFill="1" applyBorder="1" applyAlignment="1">
      <alignment horizontal="center" vertical="center"/>
    </xf>
    <xf numFmtId="0" fontId="4" fillId="3" borderId="7" xfId="0" applyFont="1" applyFill="1" applyBorder="1" applyAlignment="1">
      <alignment horizontal="center" vertical="center"/>
    </xf>
    <xf numFmtId="0" fontId="4" fillId="5" borderId="6" xfId="0" applyFont="1" applyFill="1" applyBorder="1" applyAlignment="1">
      <alignment horizontal="center" vertical="center"/>
    </xf>
    <xf numFmtId="0" fontId="2" fillId="2" borderId="8" xfId="0" applyFont="1" applyFill="1" applyBorder="1" applyAlignment="1">
      <alignment horizontal="center" vertical="center"/>
    </xf>
    <xf numFmtId="0" fontId="4" fillId="5" borderId="7"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0" xfId="0" applyFont="1" applyFill="1" applyAlignment="1">
      <alignment horizontal="center" vertical="center"/>
    </xf>
    <xf numFmtId="0" fontId="3" fillId="2" borderId="6" xfId="0" applyFont="1" applyFill="1" applyBorder="1" applyAlignment="1">
      <alignment horizontal="center" vertical="center"/>
    </xf>
    <xf numFmtId="0" fontId="4" fillId="7" borderId="0" xfId="0" applyFont="1" applyFill="1" applyAlignment="1">
      <alignment horizontal="center" vertical="center"/>
    </xf>
    <xf numFmtId="0" fontId="4" fillId="3" borderId="17" xfId="0" applyFont="1" applyFill="1" applyBorder="1" applyAlignment="1" applyProtection="1">
      <alignment horizontal="center" vertical="center"/>
      <protection locked="0"/>
    </xf>
    <xf numFmtId="0" fontId="4" fillId="3" borderId="18" xfId="0" applyFont="1" applyFill="1" applyBorder="1" applyAlignment="1" applyProtection="1">
      <alignment horizontal="center" vertical="center"/>
      <protection locked="0"/>
    </xf>
    <xf numFmtId="0" fontId="4" fillId="2" borderId="19" xfId="0" applyFont="1" applyFill="1" applyBorder="1" applyAlignment="1">
      <alignment horizontal="center" vertical="center"/>
    </xf>
    <xf numFmtId="0" fontId="6" fillId="2" borderId="0" xfId="0" applyFont="1" applyFill="1" applyAlignment="1">
      <alignment horizontal="center" vertical="center"/>
    </xf>
    <xf numFmtId="0" fontId="4" fillId="2" borderId="20"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2" xfId="0" applyFont="1" applyFill="1" applyBorder="1" applyAlignment="1">
      <alignment horizontal="center" vertical="center"/>
    </xf>
    <xf numFmtId="0" fontId="3" fillId="8" borderId="3" xfId="0" applyFont="1" applyFill="1" applyBorder="1" applyAlignment="1">
      <alignment horizontal="center" vertical="center"/>
    </xf>
    <xf numFmtId="0" fontId="5" fillId="6" borderId="5" xfId="0" applyFont="1" applyFill="1" applyBorder="1" applyAlignment="1" applyProtection="1">
      <alignment horizontal="center" vertical="center"/>
      <protection locked="0"/>
    </xf>
    <xf numFmtId="0" fontId="5" fillId="6" borderId="6"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cellXfs>
  <cellStyles count="1">
    <cellStyle name="Normal" xfId="0" builtinId="0"/>
  </cellStyles>
  <dxfs count="30">
    <dxf>
      <fill>
        <patternFill>
          <bgColor rgb="FF00CC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00CC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00CC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00CC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00CC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s>
  <tableStyles count="0" defaultTableStyle="TableStyleMedium2" defaultPivotStyle="PivotStyleLight16"/>
  <colors>
    <mruColors>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66674</xdr:colOff>
      <xdr:row>10</xdr:row>
      <xdr:rowOff>104775</xdr:rowOff>
    </xdr:from>
    <xdr:to>
      <xdr:col>3</xdr:col>
      <xdr:colOff>552450</xdr:colOff>
      <xdr:row>23</xdr:row>
      <xdr:rowOff>133350</xdr:rowOff>
    </xdr:to>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66674" y="2076450"/>
          <a:ext cx="3438526" cy="25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Put your name in the cells next to the chair you will be sitting on, the chair will turn red if both times are occupied and yellow if it is only 1 time;</a:t>
          </a:r>
        </a:p>
        <a:p>
          <a:r>
            <a:rPr lang="en-US" sz="1100"/>
            <a:t>- The upper cell is from 8am to 12pm and the lower one from 12pm to 6pm;</a:t>
          </a:r>
        </a:p>
        <a:p>
          <a:r>
            <a:rPr lang="en-US" sz="1100"/>
            <a:t>- When leaving the place, remove your name from the place so that someone else can occupy it;</a:t>
          </a:r>
        </a:p>
        <a:p>
          <a:r>
            <a:rPr lang="en-US" sz="1100"/>
            <a:t>- If you are going to use a meeting room, put your name on the list of possible times.</a:t>
          </a:r>
          <a:endParaRPr lang="en-US" sz="1100" baseline="0"/>
        </a:p>
      </xdr:txBody>
    </xdr:sp>
    <xdr:clientData/>
  </xdr:twoCellAnchor>
  <mc:AlternateContent xmlns:mc="http://schemas.openxmlformats.org/markup-compatibility/2006">
    <mc:Choice xmlns:a14="http://schemas.microsoft.com/office/drawing/2010/main" Requires="a14">
      <xdr:twoCellAnchor>
        <xdr:from>
          <xdr:col>0</xdr:col>
          <xdr:colOff>76200</xdr:colOff>
          <xdr:row>7</xdr:row>
          <xdr:rowOff>57150</xdr:rowOff>
        </xdr:from>
        <xdr:to>
          <xdr:col>0</xdr:col>
          <xdr:colOff>704850</xdr:colOff>
          <xdr:row>9</xdr:row>
          <xdr:rowOff>133350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0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100" b="0" i="0" u="none" strike="noStrike" baseline="0">
                  <a:solidFill>
                    <a:srgbClr val="000000"/>
                  </a:solidFill>
                  <a:latin typeface="Calibri"/>
                  <a:cs typeface="Calibri"/>
                </a:rPr>
                <a:t>New day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66674</xdr:colOff>
      <xdr:row>10</xdr:row>
      <xdr:rowOff>104775</xdr:rowOff>
    </xdr:from>
    <xdr:to>
      <xdr:col>3</xdr:col>
      <xdr:colOff>552450</xdr:colOff>
      <xdr:row>23</xdr:row>
      <xdr:rowOff>133350</xdr:rowOff>
    </xdr:to>
    <xdr:sp macro="" textlink="">
      <xdr:nvSpPr>
        <xdr:cNvPr id="4" name="CaixaDeTexto 3">
          <a:extLst>
            <a:ext uri="{FF2B5EF4-FFF2-40B4-BE49-F238E27FC236}">
              <a16:creationId xmlns:a16="http://schemas.microsoft.com/office/drawing/2014/main" id="{00000000-0008-0000-0100-000004000000}"/>
            </a:ext>
          </a:extLst>
        </xdr:cNvPr>
        <xdr:cNvSpPr txBox="1"/>
      </xdr:nvSpPr>
      <xdr:spPr>
        <a:xfrm>
          <a:off x="66674" y="2076450"/>
          <a:ext cx="3438526" cy="25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Coloque seu nome nas celulas ao lado da</a:t>
          </a:r>
          <a:r>
            <a:rPr lang="en-US" sz="1100" baseline="0"/>
            <a:t> cadeira na qual estará sentado, a cadeira ficará vermelha se os 2 horários estiverem ocupados e amarela se for apenas 1 horário;</a:t>
          </a:r>
        </a:p>
        <a:p>
          <a:r>
            <a:rPr lang="en-US" sz="1100" baseline="0"/>
            <a:t>- A célula superior é o horário das 8h - 12h e a inferior das 12h - 18h;</a:t>
          </a:r>
        </a:p>
        <a:p>
          <a:r>
            <a:rPr lang="en-US" sz="1100" baseline="0"/>
            <a:t>- Ao sair do lugar retire seu nome do lugar para que outra pessoa possa ocupar;</a:t>
          </a:r>
        </a:p>
        <a:p>
          <a:r>
            <a:rPr lang="en-US" sz="1100"/>
            <a:t>- Se for</a:t>
          </a:r>
          <a:r>
            <a:rPr lang="en-US" sz="1100" baseline="0"/>
            <a:t> usar alguma sala de reunião coloque seu nome na lista de horários possiveis.</a:t>
          </a:r>
        </a:p>
      </xdr:txBody>
    </xdr:sp>
    <xdr:clientData/>
  </xdr:twoCellAnchor>
  <mc:AlternateContent xmlns:mc="http://schemas.openxmlformats.org/markup-compatibility/2006">
    <mc:Choice xmlns:a14="http://schemas.microsoft.com/office/drawing/2010/main" Requires="a14">
      <xdr:twoCellAnchor>
        <xdr:from>
          <xdr:col>0</xdr:col>
          <xdr:colOff>76200</xdr:colOff>
          <xdr:row>7</xdr:row>
          <xdr:rowOff>57150</xdr:rowOff>
        </xdr:from>
        <xdr:to>
          <xdr:col>0</xdr:col>
          <xdr:colOff>704850</xdr:colOff>
          <xdr:row>9</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100" b="0" i="0" u="none" strike="noStrike" baseline="0">
                  <a:solidFill>
                    <a:srgbClr val="000000"/>
                  </a:solidFill>
                  <a:latin typeface="Calibri"/>
                  <a:cs typeface="Calibri"/>
                </a:rPr>
                <a:t>Novo Dia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66674</xdr:colOff>
      <xdr:row>10</xdr:row>
      <xdr:rowOff>104775</xdr:rowOff>
    </xdr:from>
    <xdr:to>
      <xdr:col>3</xdr:col>
      <xdr:colOff>552450</xdr:colOff>
      <xdr:row>23</xdr:row>
      <xdr:rowOff>133350</xdr:rowOff>
    </xdr:to>
    <xdr:sp macro="" textlink="">
      <xdr:nvSpPr>
        <xdr:cNvPr id="4" name="CaixaDeTexto 3">
          <a:extLst>
            <a:ext uri="{FF2B5EF4-FFF2-40B4-BE49-F238E27FC236}">
              <a16:creationId xmlns:a16="http://schemas.microsoft.com/office/drawing/2014/main" id="{00000000-0008-0000-0200-000004000000}"/>
            </a:ext>
          </a:extLst>
        </xdr:cNvPr>
        <xdr:cNvSpPr txBox="1"/>
      </xdr:nvSpPr>
      <xdr:spPr>
        <a:xfrm>
          <a:off x="66674" y="2076450"/>
          <a:ext cx="3438526" cy="25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Coloque seu nome nas celulas ao lado da</a:t>
          </a:r>
          <a:r>
            <a:rPr lang="en-US" sz="1100" baseline="0"/>
            <a:t> cadeira na qual estará sentado, a cadeira ficará vermelha se os 2 horários estiverem ocupados e amarela se for apenas 1 horário;</a:t>
          </a:r>
        </a:p>
        <a:p>
          <a:r>
            <a:rPr lang="en-US" sz="1100" baseline="0"/>
            <a:t>- A célula superior é o horário das 8h - 12h e a inferior das 12h - 18h;</a:t>
          </a:r>
        </a:p>
        <a:p>
          <a:r>
            <a:rPr lang="en-US" sz="1100" baseline="0"/>
            <a:t>- Ao sair do lugar retire seu nome do lugar para que outra pessoa possa ocupar;</a:t>
          </a:r>
        </a:p>
        <a:p>
          <a:r>
            <a:rPr lang="en-US" sz="1100"/>
            <a:t>- Se for</a:t>
          </a:r>
          <a:r>
            <a:rPr lang="en-US" sz="1100" baseline="0"/>
            <a:t> usar alguma sala de reunião coloque seu nome na lista de horários possiveis.</a:t>
          </a:r>
        </a:p>
      </xdr:txBody>
    </xdr:sp>
    <xdr:clientData/>
  </xdr:twoCellAnchor>
  <mc:AlternateContent xmlns:mc="http://schemas.openxmlformats.org/markup-compatibility/2006">
    <mc:Choice xmlns:a14="http://schemas.microsoft.com/office/drawing/2010/main" Requires="a14">
      <xdr:twoCellAnchor>
        <xdr:from>
          <xdr:col>0</xdr:col>
          <xdr:colOff>76200</xdr:colOff>
          <xdr:row>7</xdr:row>
          <xdr:rowOff>57150</xdr:rowOff>
        </xdr:from>
        <xdr:to>
          <xdr:col>0</xdr:col>
          <xdr:colOff>704850</xdr:colOff>
          <xdr:row>9</xdr:row>
          <xdr:rowOff>133350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100" b="0" i="0" u="none" strike="noStrike" baseline="0">
                  <a:solidFill>
                    <a:srgbClr val="000000"/>
                  </a:solidFill>
                  <a:latin typeface="Calibri"/>
                  <a:cs typeface="Calibri"/>
                </a:rPr>
                <a:t>Novo Dia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66674</xdr:colOff>
      <xdr:row>10</xdr:row>
      <xdr:rowOff>104775</xdr:rowOff>
    </xdr:from>
    <xdr:to>
      <xdr:col>3</xdr:col>
      <xdr:colOff>552450</xdr:colOff>
      <xdr:row>23</xdr:row>
      <xdr:rowOff>133350</xdr:rowOff>
    </xdr:to>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66674" y="1876425"/>
          <a:ext cx="3438526" cy="1962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Coloque seu nome nas celulas ao lado da</a:t>
          </a:r>
          <a:r>
            <a:rPr lang="en-US" sz="1100" baseline="0"/>
            <a:t> cadeira na qual estará sentado, a cadeira ficará vermelha se os 2 horários estiverem ocupados e amarela se for apenas 1 horário;</a:t>
          </a:r>
        </a:p>
        <a:p>
          <a:r>
            <a:rPr lang="en-US" sz="1100" baseline="0"/>
            <a:t>- A célula superior é o horário das 8h - 12h e a inferior das 12h - 18h;</a:t>
          </a:r>
        </a:p>
        <a:p>
          <a:r>
            <a:rPr lang="en-US" sz="1100" baseline="0"/>
            <a:t>- Ao sair do lugar retire seu nome do lugar para que outra pessoa possa ocupar;</a:t>
          </a:r>
        </a:p>
        <a:p>
          <a:r>
            <a:rPr lang="en-US" sz="1100"/>
            <a:t>- Se for</a:t>
          </a:r>
          <a:r>
            <a:rPr lang="en-US" sz="1100" baseline="0"/>
            <a:t> usar alguma sala de reunião coloque seu nome na lista de horários possiveis.</a:t>
          </a:r>
        </a:p>
      </xdr:txBody>
    </xdr:sp>
    <xdr:clientData/>
  </xdr:twoCellAnchor>
  <mc:AlternateContent xmlns:mc="http://schemas.openxmlformats.org/markup-compatibility/2006">
    <mc:Choice xmlns:a14="http://schemas.microsoft.com/office/drawing/2010/main" Requires="a14">
      <xdr:twoCellAnchor>
        <xdr:from>
          <xdr:col>0</xdr:col>
          <xdr:colOff>76200</xdr:colOff>
          <xdr:row>7</xdr:row>
          <xdr:rowOff>57150</xdr:rowOff>
        </xdr:from>
        <xdr:to>
          <xdr:col>0</xdr:col>
          <xdr:colOff>704850</xdr:colOff>
          <xdr:row>9</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100" b="0" i="0" u="none" strike="noStrike" baseline="0">
                  <a:solidFill>
                    <a:srgbClr val="000000"/>
                  </a:solidFill>
                  <a:latin typeface="Calibri"/>
                  <a:cs typeface="Calibri"/>
                </a:rPr>
                <a:t>Novo Dia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66674</xdr:colOff>
      <xdr:row>10</xdr:row>
      <xdr:rowOff>104775</xdr:rowOff>
    </xdr:from>
    <xdr:to>
      <xdr:col>3</xdr:col>
      <xdr:colOff>552450</xdr:colOff>
      <xdr:row>23</xdr:row>
      <xdr:rowOff>133350</xdr:rowOff>
    </xdr:to>
    <xdr:sp macro="" textlink="">
      <xdr:nvSpPr>
        <xdr:cNvPr id="4" name="CaixaDeTexto 3">
          <a:extLst>
            <a:ext uri="{FF2B5EF4-FFF2-40B4-BE49-F238E27FC236}">
              <a16:creationId xmlns:a16="http://schemas.microsoft.com/office/drawing/2014/main" id="{00000000-0008-0000-0400-000004000000}"/>
            </a:ext>
          </a:extLst>
        </xdr:cNvPr>
        <xdr:cNvSpPr txBox="1"/>
      </xdr:nvSpPr>
      <xdr:spPr>
        <a:xfrm>
          <a:off x="66674" y="2076450"/>
          <a:ext cx="3438526" cy="25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Coloque seu nome nas celulas ao lado da</a:t>
          </a:r>
          <a:r>
            <a:rPr lang="en-US" sz="1100" baseline="0"/>
            <a:t> cadeira na qual estará sentado, a cadeira ficará vermelha se os 2 horários estiverem ocupados e amarela se for apenas 1 horário;</a:t>
          </a:r>
        </a:p>
        <a:p>
          <a:r>
            <a:rPr lang="en-US" sz="1100" baseline="0"/>
            <a:t>- A célula superior é o horário das 8h - 12h e a inferior das 12h - 18h;</a:t>
          </a:r>
        </a:p>
        <a:p>
          <a:r>
            <a:rPr lang="en-US" sz="1100" baseline="0"/>
            <a:t>- Ao sair do lugar retire seu nome do lugar para que outra pessoa possa ocupar;</a:t>
          </a:r>
        </a:p>
        <a:p>
          <a:r>
            <a:rPr lang="en-US" sz="1100"/>
            <a:t>- Se for</a:t>
          </a:r>
          <a:r>
            <a:rPr lang="en-US" sz="1100" baseline="0"/>
            <a:t> usar alguma sala de reunião coloque seu nome na lista de horários possiveis.</a:t>
          </a:r>
        </a:p>
      </xdr:txBody>
    </xdr:sp>
    <xdr:clientData/>
  </xdr:twoCellAnchor>
  <mc:AlternateContent xmlns:mc="http://schemas.openxmlformats.org/markup-compatibility/2006">
    <mc:Choice xmlns:a14="http://schemas.microsoft.com/office/drawing/2010/main" Requires="a14">
      <xdr:twoCellAnchor>
        <xdr:from>
          <xdr:col>0</xdr:col>
          <xdr:colOff>76200</xdr:colOff>
          <xdr:row>7</xdr:row>
          <xdr:rowOff>57150</xdr:rowOff>
        </xdr:from>
        <xdr:to>
          <xdr:col>0</xdr:col>
          <xdr:colOff>704850</xdr:colOff>
          <xdr:row>9</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100" b="0" i="0" u="none" strike="noStrike" baseline="0">
                  <a:solidFill>
                    <a:srgbClr val="000000"/>
                  </a:solidFill>
                  <a:latin typeface="Calibri"/>
                  <a:cs typeface="Calibri"/>
                </a:rPr>
                <a:t>Novo Dia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B485E9-12FD-43C8-9B6E-E21A4999DC55}">
  <sheetPr codeName="Planilha6"/>
  <dimension ref="B1:AE23"/>
  <sheetViews>
    <sheetView zoomScale="85" zoomScaleNormal="85" workbookViewId="0">
      <selection activeCell="E1" sqref="E1:Y1"/>
    </sheetView>
  </sheetViews>
  <sheetFormatPr defaultRowHeight="15" outlineLevelCol="1" x14ac:dyDescent="0.25"/>
  <cols>
    <col min="1" max="1" width="11.140625" style="1" customWidth="1"/>
    <col min="2" max="2" width="21.85546875" style="1" bestFit="1" customWidth="1"/>
    <col min="3" max="3" width="11.7109375" style="1" customWidth="1"/>
    <col min="4" max="4" width="7.85546875" style="1" customWidth="1"/>
    <col min="5" max="5" width="15.5703125" style="1" bestFit="1" customWidth="1"/>
    <col min="6" max="6" width="6.7109375" style="1" bestFit="1" customWidth="1"/>
    <col min="7" max="7" width="3" style="1" customWidth="1"/>
    <col min="8" max="8" width="9.7109375" style="1" customWidth="1"/>
    <col min="9" max="9" width="6.7109375" style="1" bestFit="1" customWidth="1"/>
    <col min="10" max="10" width="8.42578125" style="1" bestFit="1" customWidth="1"/>
    <col min="11" max="11" width="1.140625" style="1" customWidth="1"/>
    <col min="12" max="12" width="7.42578125" style="1" bestFit="1" customWidth="1"/>
    <col min="13" max="13" width="3.140625" style="1" customWidth="1"/>
    <col min="14" max="16" width="6.7109375" style="1" bestFit="1" customWidth="1"/>
    <col min="17" max="17" width="1.140625" style="1" customWidth="1"/>
    <col min="18" max="19" width="6.7109375" style="1" bestFit="1" customWidth="1"/>
    <col min="20" max="20" width="9.7109375" style="1" customWidth="1"/>
    <col min="21" max="21" width="3.140625" style="1" customWidth="1"/>
    <col min="22" max="22" width="6.7109375" style="1" bestFit="1" customWidth="1"/>
    <col min="23" max="23" width="8.85546875" style="1" bestFit="1" customWidth="1"/>
    <col min="24" max="24" width="1.140625" style="1" customWidth="1"/>
    <col min="25" max="25" width="9.85546875" style="1" customWidth="1"/>
    <col min="26" max="26" width="3" style="1" customWidth="1"/>
    <col min="27" max="27" width="5.7109375" style="1" bestFit="1" customWidth="1"/>
    <col min="28" max="28" width="34.5703125" style="1" customWidth="1"/>
    <col min="29" max="29" width="3" style="3" hidden="1" customWidth="1" outlineLevel="1"/>
    <col min="30" max="30" width="29.7109375" style="1" hidden="1" customWidth="1" outlineLevel="1"/>
    <col min="31" max="31" width="9.140625" style="1" collapsed="1"/>
    <col min="32" max="16384" width="9.140625" style="1"/>
  </cols>
  <sheetData>
    <row r="1" spans="2:30" ht="15.75" thickBot="1" x14ac:dyDescent="0.3">
      <c r="E1" s="34" t="s">
        <v>47</v>
      </c>
      <c r="F1" s="35"/>
      <c r="G1" s="35"/>
      <c r="H1" s="35"/>
      <c r="I1" s="35"/>
      <c r="J1" s="35"/>
      <c r="K1" s="35"/>
      <c r="L1" s="35"/>
      <c r="M1" s="35"/>
      <c r="N1" s="35"/>
      <c r="O1" s="35"/>
      <c r="P1" s="35"/>
      <c r="Q1" s="35"/>
      <c r="R1" s="35"/>
      <c r="S1" s="35"/>
      <c r="T1" s="35"/>
      <c r="U1" s="35"/>
      <c r="V1" s="35"/>
      <c r="W1" s="35"/>
      <c r="X1" s="35"/>
      <c r="Y1" s="36"/>
      <c r="Z1" s="2"/>
      <c r="AA1" s="2"/>
      <c r="AC1" s="3">
        <f>IF(AND(L3&lt;&gt;"",L5&lt;&gt;"",L8&lt;&gt;"",L10&lt;&gt;"",P3&lt;&gt;"",P5&lt;&gt;"",P8&lt;&gt;"",P10&lt;&gt;"",F3&lt;&gt;"",F5&lt;&gt;"",F8&lt;&gt;"",F10&lt;&gt;"",J3&lt;&gt;"",J5&lt;&gt;"",J8&lt;&gt;"",J10&lt;&gt;"",R3&lt;&gt;"",R5&lt;&gt;"",R8&lt;&gt;"",R10&lt;&gt;"",V3&lt;&gt;"",V5&lt;&gt;"",V8&lt;&gt;"",V10&lt;&gt;""),1,0)</f>
        <v>0</v>
      </c>
      <c r="AD1" s="1" t="s">
        <v>37</v>
      </c>
    </row>
    <row r="2" spans="2:30" ht="15.75" thickBot="1" x14ac:dyDescent="0.3">
      <c r="E2" s="7" t="s">
        <v>51</v>
      </c>
      <c r="F2" s="8"/>
      <c r="G2" s="8"/>
      <c r="H2" s="8"/>
      <c r="I2" s="8"/>
      <c r="J2" s="8"/>
      <c r="K2" s="8"/>
      <c r="L2" s="8"/>
      <c r="M2" s="8"/>
      <c r="N2" s="8"/>
      <c r="O2" s="8"/>
      <c r="P2" s="8"/>
      <c r="Q2" s="8"/>
      <c r="R2" s="8"/>
      <c r="S2" s="8"/>
      <c r="T2" s="8"/>
      <c r="U2" s="8"/>
      <c r="V2" s="8"/>
      <c r="W2" s="8"/>
      <c r="X2" s="8"/>
      <c r="Y2" s="9"/>
      <c r="AC2" s="3">
        <f>IF(AND(L4&lt;&gt;"",L6&lt;&gt;"",L9&lt;&gt;"",L11&lt;&gt;"",P4&lt;&gt;"",P6&lt;&gt;"",P9&lt;&gt;"",P11&lt;&gt;"",F4&lt;&gt;"",F6&lt;&gt;"",F9&lt;&gt;"",F11&lt;&gt;"",J4&lt;&gt;"",J6&lt;&gt;"",J9&lt;&gt;"",J11&lt;&gt;"",R4&lt;&gt;"",R6&lt;&gt;"",R9&lt;&gt;"",R11&lt;&gt;"",V4&lt;&gt;"",V6&lt;&gt;"",V9&lt;&gt;"",V11&lt;&gt;""),1,0)</f>
        <v>0</v>
      </c>
      <c r="AD2" s="1" t="s">
        <v>38</v>
      </c>
    </row>
    <row r="3" spans="2:30" x14ac:dyDescent="0.25">
      <c r="E3" s="10" t="s">
        <v>35</v>
      </c>
      <c r="F3" s="11"/>
      <c r="G3" s="12" t="s">
        <v>2</v>
      </c>
      <c r="H3" s="13"/>
      <c r="I3" s="12" t="s">
        <v>3</v>
      </c>
      <c r="J3" s="11"/>
      <c r="K3" s="8"/>
      <c r="L3" s="11"/>
      <c r="M3" s="12" t="s">
        <v>4</v>
      </c>
      <c r="N3" s="13"/>
      <c r="O3" s="12" t="s">
        <v>5</v>
      </c>
      <c r="P3" s="11"/>
      <c r="Q3" s="8"/>
      <c r="R3" s="11"/>
      <c r="S3" s="12" t="s">
        <v>6</v>
      </c>
      <c r="T3" s="13"/>
      <c r="U3" s="12" t="s">
        <v>7</v>
      </c>
      <c r="V3" s="11"/>
      <c r="W3" s="8"/>
      <c r="X3" s="8"/>
      <c r="Y3" s="9"/>
      <c r="AC3" s="3">
        <f>SUM(AC1:AC2)</f>
        <v>0</v>
      </c>
      <c r="AD3" s="1" t="s">
        <v>39</v>
      </c>
    </row>
    <row r="4" spans="2:30" ht="15.75" thickBot="1" x14ac:dyDescent="0.3">
      <c r="E4" s="14" t="s">
        <v>36</v>
      </c>
      <c r="F4" s="15"/>
      <c r="G4" s="8"/>
      <c r="H4" s="16"/>
      <c r="I4" s="8"/>
      <c r="J4" s="15"/>
      <c r="K4" s="8"/>
      <c r="L4" s="15"/>
      <c r="M4" s="8"/>
      <c r="N4" s="16"/>
      <c r="O4" s="8"/>
      <c r="P4" s="15"/>
      <c r="Q4" s="8"/>
      <c r="R4" s="15"/>
      <c r="S4" s="8"/>
      <c r="T4" s="16"/>
      <c r="U4" s="8"/>
      <c r="V4" s="15"/>
      <c r="W4" s="8"/>
      <c r="X4" s="8"/>
      <c r="Y4" s="9"/>
    </row>
    <row r="5" spans="2:30" x14ac:dyDescent="0.25">
      <c r="E5" s="10" t="s">
        <v>35</v>
      </c>
      <c r="F5" s="11"/>
      <c r="G5" s="12" t="s">
        <v>9</v>
      </c>
      <c r="H5" s="16"/>
      <c r="I5" s="12" t="s">
        <v>10</v>
      </c>
      <c r="J5" s="11"/>
      <c r="K5" s="8"/>
      <c r="L5" s="11"/>
      <c r="M5" s="12" t="s">
        <v>11</v>
      </c>
      <c r="N5" s="16"/>
      <c r="O5" s="12" t="s">
        <v>12</v>
      </c>
      <c r="P5" s="11"/>
      <c r="Q5" s="8"/>
      <c r="R5" s="11"/>
      <c r="S5" s="12" t="s">
        <v>13</v>
      </c>
      <c r="T5" s="16"/>
      <c r="U5" s="12" t="s">
        <v>14</v>
      </c>
      <c r="V5" s="11"/>
      <c r="W5" s="8"/>
      <c r="X5" s="8"/>
      <c r="Y5" s="9"/>
      <c r="AC5" s="3">
        <f>SUM(IF(F3&lt;&gt;"",1,0),IF(F5&lt;&gt;"",1,0),IF(F8&lt;&gt;"",1,0),IF(F10&lt;&gt;"",1,0),IF(J3&lt;&gt;"",1,0),IF(J5&lt;&gt;"",1,0),IF(J8&lt;&gt;"",1,0),IF(J10&lt;&gt;"",1,0),IF(L3&lt;&gt;"",1,0),IF(L5&lt;&gt;"",1,0),IF(L8&lt;&gt;"",1,0),IF(L10&lt;&gt;"",1,0),IF(P3&lt;&gt;"",1,0),IF(P5&lt;&gt;"",1,0),IF(P8&lt;&gt;"",1,0),IF(P10&lt;&gt;"",1,0),IF(R3&lt;&gt;"",1,0),IF(R5&lt;&gt;"",1,0),IF(R8&lt;&gt;"",1,0),IF(R10&lt;&gt;"",1,0),IF(V3&lt;&gt;"",1,0),IF(V5&lt;&gt;"",1,0),IF(V8&lt;&gt;"",1,0),IF(V10&lt;&gt;"",1,0))</f>
        <v>0</v>
      </c>
      <c r="AD5" s="1" t="s">
        <v>40</v>
      </c>
    </row>
    <row r="6" spans="2:30" ht="15.75" thickBot="1" x14ac:dyDescent="0.3">
      <c r="E6" s="14" t="s">
        <v>36</v>
      </c>
      <c r="F6" s="15"/>
      <c r="G6" s="8"/>
      <c r="H6" s="16"/>
      <c r="I6" s="8"/>
      <c r="J6" s="15"/>
      <c r="K6" s="8"/>
      <c r="L6" s="15"/>
      <c r="M6" s="8"/>
      <c r="N6" s="16"/>
      <c r="O6" s="8"/>
      <c r="P6" s="15"/>
      <c r="Q6" s="8"/>
      <c r="R6" s="15"/>
      <c r="S6" s="8"/>
      <c r="T6" s="16"/>
      <c r="U6" s="8"/>
      <c r="V6" s="15"/>
      <c r="W6" s="8"/>
      <c r="X6" s="8"/>
      <c r="Y6" s="9"/>
      <c r="AC6" s="3">
        <f>SUM(IF(F4&lt;&gt;"",1,0),IF(F6&lt;&gt;"",1,0),IF(F9&lt;&gt;"",1,0),IF(F11&lt;&gt;"",1,0),IF(J4&lt;&gt;"",1,0),IF(J6&lt;&gt;"",1,0),IF(J9&lt;&gt;"",1,0),IF(J11&lt;&gt;"",1,0),IF(L4&lt;&gt;"",1,0),IF(L6&lt;&gt;"",1,0),IF(L9&lt;&gt;"",1,0),IF(L11&lt;&gt;"",1,0),IF(P4&lt;&gt;"",1,0),IF(P6&lt;&gt;"",1,0),IF(P9&lt;&gt;"",1,0),IF(P11&lt;&gt;"",1,0),IF(R4&lt;&gt;"",1,0),IF(R6&lt;&gt;"",1,0),IF(R9&lt;&gt;"",1,0),IF(R11&lt;&gt;"",1,0),IF(V4&lt;&gt;"",1,0),IF(V6&lt;&gt;"",1,0),IF(V9&lt;&gt;"",1,0),IF(V11&lt;&gt;"",1,0))</f>
        <v>0</v>
      </c>
      <c r="AD6" s="1" t="s">
        <v>41</v>
      </c>
    </row>
    <row r="7" spans="2:30" ht="15.75" thickBot="1" x14ac:dyDescent="0.3">
      <c r="E7" s="8"/>
      <c r="F7" s="8"/>
      <c r="G7" s="8"/>
      <c r="H7" s="16"/>
      <c r="I7" s="8"/>
      <c r="J7" s="8"/>
      <c r="K7" s="8"/>
      <c r="L7" s="8"/>
      <c r="M7" s="8"/>
      <c r="N7" s="16"/>
      <c r="O7" s="8"/>
      <c r="P7" s="8"/>
      <c r="Q7" s="8"/>
      <c r="R7" s="8"/>
      <c r="S7" s="8"/>
      <c r="T7" s="16"/>
      <c r="U7" s="8"/>
      <c r="V7" s="8"/>
      <c r="W7" s="8"/>
      <c r="X7" s="8"/>
      <c r="Y7" s="9"/>
      <c r="AC7" s="3">
        <v>24</v>
      </c>
      <c r="AD7" s="1" t="s">
        <v>26</v>
      </c>
    </row>
    <row r="8" spans="2:30" x14ac:dyDescent="0.25">
      <c r="B8" s="17" t="s">
        <v>44</v>
      </c>
      <c r="C8" s="5">
        <v>43493</v>
      </c>
      <c r="E8" s="10" t="s">
        <v>35</v>
      </c>
      <c r="F8" s="11"/>
      <c r="G8" s="12" t="s">
        <v>15</v>
      </c>
      <c r="H8" s="16"/>
      <c r="I8" s="12" t="s">
        <v>16</v>
      </c>
      <c r="J8" s="11"/>
      <c r="K8" s="8"/>
      <c r="L8" s="11"/>
      <c r="M8" s="12" t="s">
        <v>17</v>
      </c>
      <c r="N8" s="16"/>
      <c r="O8" s="12" t="s">
        <v>18</v>
      </c>
      <c r="P8" s="11"/>
      <c r="Q8" s="8"/>
      <c r="R8" s="11"/>
      <c r="S8" s="12" t="s">
        <v>19</v>
      </c>
      <c r="T8" s="16"/>
      <c r="U8" s="12" t="s">
        <v>20</v>
      </c>
      <c r="V8" s="11"/>
      <c r="W8" s="8"/>
      <c r="X8" s="8"/>
      <c r="Y8" s="9"/>
    </row>
    <row r="9" spans="2:30" ht="15.75" thickBot="1" x14ac:dyDescent="0.3">
      <c r="B9" s="17" t="s">
        <v>45</v>
      </c>
      <c r="C9" s="6">
        <f>AC7-AC5</f>
        <v>24</v>
      </c>
      <c r="E9" s="14" t="s">
        <v>36</v>
      </c>
      <c r="F9" s="15"/>
      <c r="G9" s="8"/>
      <c r="H9" s="16"/>
      <c r="I9" s="8"/>
      <c r="J9" s="15"/>
      <c r="K9" s="8"/>
      <c r="L9" s="15"/>
      <c r="M9" s="8"/>
      <c r="N9" s="16"/>
      <c r="O9" s="8"/>
      <c r="P9" s="15"/>
      <c r="Q9" s="8"/>
      <c r="R9" s="15"/>
      <c r="S9" s="8"/>
      <c r="T9" s="16"/>
      <c r="U9" s="8"/>
      <c r="V9" s="15"/>
      <c r="W9" s="8"/>
      <c r="X9" s="8"/>
      <c r="Y9" s="9"/>
    </row>
    <row r="10" spans="2:30" ht="15.75" thickBot="1" x14ac:dyDescent="0.3">
      <c r="B10" s="17" t="s">
        <v>46</v>
      </c>
      <c r="C10" s="6">
        <f>AC7-AC6</f>
        <v>24</v>
      </c>
      <c r="E10" s="10" t="s">
        <v>35</v>
      </c>
      <c r="F10" s="11"/>
      <c r="G10" s="12" t="s">
        <v>21</v>
      </c>
      <c r="H10" s="18"/>
      <c r="I10" s="12" t="s">
        <v>22</v>
      </c>
      <c r="J10" s="11"/>
      <c r="K10" s="8"/>
      <c r="L10" s="11"/>
      <c r="M10" s="12" t="s">
        <v>23</v>
      </c>
      <c r="N10" s="18"/>
      <c r="O10" s="12" t="s">
        <v>23</v>
      </c>
      <c r="P10" s="11"/>
      <c r="Q10" s="8"/>
      <c r="R10" s="11"/>
      <c r="S10" s="12" t="s">
        <v>24</v>
      </c>
      <c r="T10" s="18"/>
      <c r="U10" s="12" t="s">
        <v>25</v>
      </c>
      <c r="V10" s="11"/>
      <c r="W10" s="8"/>
      <c r="X10" s="8"/>
      <c r="Y10" s="9"/>
    </row>
    <row r="11" spans="2:30" ht="15.75" thickBot="1" x14ac:dyDescent="0.3">
      <c r="E11" s="14" t="s">
        <v>36</v>
      </c>
      <c r="F11" s="15"/>
      <c r="G11" s="19"/>
      <c r="H11" s="19"/>
      <c r="I11" s="19"/>
      <c r="J11" s="15"/>
      <c r="K11" s="20"/>
      <c r="L11" s="15"/>
      <c r="M11" s="19"/>
      <c r="N11" s="19"/>
      <c r="O11" s="19"/>
      <c r="P11" s="15"/>
      <c r="Q11" s="20"/>
      <c r="R11" s="15"/>
      <c r="S11" s="19"/>
      <c r="T11" s="19"/>
      <c r="U11" s="19"/>
      <c r="V11" s="15"/>
      <c r="W11" s="19"/>
      <c r="X11" s="19"/>
      <c r="Y11" s="21"/>
    </row>
    <row r="12" spans="2:30" ht="15.75" thickBot="1" x14ac:dyDescent="0.3">
      <c r="E12" s="8"/>
      <c r="F12" s="8"/>
      <c r="G12" s="8"/>
      <c r="H12" s="8"/>
      <c r="I12" s="8"/>
      <c r="J12" s="8"/>
      <c r="K12" s="8"/>
      <c r="L12" s="8"/>
      <c r="M12" s="8"/>
      <c r="N12" s="8"/>
      <c r="O12" s="8"/>
      <c r="P12" s="8"/>
      <c r="Q12" s="8"/>
      <c r="R12" s="8"/>
      <c r="S12" s="8"/>
      <c r="T12" s="8"/>
      <c r="U12" s="8"/>
      <c r="V12" s="8"/>
      <c r="W12" s="8"/>
      <c r="X12" s="8"/>
      <c r="Y12" s="8"/>
    </row>
    <row r="13" spans="2:30" ht="15.75" thickBot="1" x14ac:dyDescent="0.3">
      <c r="E13" s="22"/>
      <c r="F13" s="34" t="s">
        <v>48</v>
      </c>
      <c r="G13" s="35"/>
      <c r="H13" s="35"/>
      <c r="I13" s="35"/>
      <c r="J13" s="35"/>
      <c r="K13" s="35"/>
      <c r="L13" s="36"/>
      <c r="M13" s="23"/>
      <c r="N13" s="23"/>
      <c r="O13" s="23"/>
      <c r="P13" s="34" t="s">
        <v>52</v>
      </c>
      <c r="Q13" s="35"/>
      <c r="R13" s="35"/>
      <c r="S13" s="35"/>
      <c r="T13" s="35"/>
      <c r="U13" s="35"/>
      <c r="V13" s="35"/>
      <c r="W13" s="35"/>
      <c r="X13" s="35"/>
      <c r="Y13" s="36"/>
    </row>
    <row r="14" spans="2:30" ht="15.75" thickBot="1" x14ac:dyDescent="0.3">
      <c r="E14" s="24"/>
      <c r="F14" s="8"/>
      <c r="G14" s="8"/>
      <c r="H14" s="8"/>
      <c r="I14" s="8"/>
      <c r="J14" s="25" t="s">
        <v>50</v>
      </c>
      <c r="K14" s="26"/>
      <c r="L14" s="27" t="s">
        <v>49</v>
      </c>
      <c r="M14" s="8"/>
      <c r="N14" s="8"/>
      <c r="O14" s="8"/>
      <c r="P14" s="8"/>
      <c r="Q14" s="8"/>
      <c r="R14" s="8"/>
      <c r="S14" s="8"/>
      <c r="T14" s="8"/>
      <c r="U14" s="8"/>
      <c r="V14" s="8"/>
      <c r="W14" s="25" t="s">
        <v>50</v>
      </c>
      <c r="X14" s="26"/>
      <c r="Y14" s="27" t="s">
        <v>49</v>
      </c>
    </row>
    <row r="15" spans="2:30" x14ac:dyDescent="0.25">
      <c r="E15" s="24"/>
      <c r="F15" s="8"/>
      <c r="G15" s="8"/>
      <c r="H15" s="8"/>
      <c r="I15" s="8"/>
      <c r="J15" s="10" t="s">
        <v>30</v>
      </c>
      <c r="K15" s="8"/>
      <c r="L15" s="11"/>
      <c r="M15" s="8"/>
      <c r="N15" s="8"/>
      <c r="O15" s="8"/>
      <c r="P15" s="8"/>
      <c r="Q15" s="8"/>
      <c r="R15" s="8"/>
      <c r="S15" s="8"/>
      <c r="T15" s="37"/>
      <c r="U15" s="8"/>
      <c r="V15" s="8"/>
      <c r="W15" s="10" t="s">
        <v>30</v>
      </c>
      <c r="X15" s="8"/>
      <c r="Y15" s="11"/>
    </row>
    <row r="16" spans="2:30" ht="15.75" thickBot="1" x14ac:dyDescent="0.3">
      <c r="E16" s="24"/>
      <c r="F16" s="8"/>
      <c r="G16" s="8"/>
      <c r="H16" s="28">
        <v>2</v>
      </c>
      <c r="I16" s="8"/>
      <c r="J16" s="14" t="s">
        <v>31</v>
      </c>
      <c r="K16" s="8"/>
      <c r="L16" s="29"/>
      <c r="M16" s="8"/>
      <c r="N16" s="8"/>
      <c r="O16" s="8"/>
      <c r="P16" s="8"/>
      <c r="Q16" s="8"/>
      <c r="R16" s="8"/>
      <c r="S16" s="28">
        <v>1</v>
      </c>
      <c r="T16" s="38"/>
      <c r="U16" s="28">
        <v>4</v>
      </c>
      <c r="V16" s="8"/>
      <c r="W16" s="14" t="s">
        <v>31</v>
      </c>
      <c r="X16" s="8"/>
      <c r="Y16" s="29"/>
    </row>
    <row r="17" spans="5:25" x14ac:dyDescent="0.25">
      <c r="E17" s="24"/>
      <c r="F17" s="8"/>
      <c r="G17" s="8"/>
      <c r="H17" s="37"/>
      <c r="I17" s="8"/>
      <c r="J17" s="10" t="s">
        <v>32</v>
      </c>
      <c r="K17" s="8"/>
      <c r="L17" s="30"/>
      <c r="M17" s="8"/>
      <c r="N17" s="8"/>
      <c r="O17" s="8"/>
      <c r="P17" s="8"/>
      <c r="Q17" s="8"/>
      <c r="R17" s="8"/>
      <c r="S17" s="8"/>
      <c r="T17" s="38"/>
      <c r="U17" s="8"/>
      <c r="V17" s="8"/>
      <c r="W17" s="10" t="s">
        <v>32</v>
      </c>
      <c r="X17" s="8"/>
      <c r="Y17" s="30"/>
    </row>
    <row r="18" spans="5:25" ht="15.75" thickBot="1" x14ac:dyDescent="0.3">
      <c r="E18" s="24"/>
      <c r="F18" s="8"/>
      <c r="G18" s="28">
        <v>1</v>
      </c>
      <c r="H18" s="38"/>
      <c r="I18" s="28">
        <v>3</v>
      </c>
      <c r="J18" s="14" t="s">
        <v>33</v>
      </c>
      <c r="K18" s="8"/>
      <c r="L18" s="29"/>
      <c r="M18" s="8"/>
      <c r="N18" s="8"/>
      <c r="O18" s="8"/>
      <c r="P18" s="8"/>
      <c r="Q18" s="8"/>
      <c r="R18" s="8"/>
      <c r="S18" s="28">
        <v>2</v>
      </c>
      <c r="T18" s="38"/>
      <c r="U18" s="28">
        <v>5</v>
      </c>
      <c r="V18" s="8"/>
      <c r="W18" s="14" t="s">
        <v>33</v>
      </c>
      <c r="X18" s="8"/>
      <c r="Y18" s="29"/>
    </row>
    <row r="19" spans="5:25" ht="15.75" thickBot="1" x14ac:dyDescent="0.3">
      <c r="E19" s="24"/>
      <c r="F19" s="8"/>
      <c r="G19" s="8"/>
      <c r="H19" s="39"/>
      <c r="I19" s="8"/>
      <c r="J19" s="8"/>
      <c r="K19" s="8"/>
      <c r="L19" s="8"/>
      <c r="M19" s="8"/>
      <c r="N19" s="8"/>
      <c r="O19" s="8"/>
      <c r="P19" s="8"/>
      <c r="Q19" s="8"/>
      <c r="R19" s="8"/>
      <c r="S19" s="8"/>
      <c r="T19" s="38"/>
      <c r="U19" s="8"/>
      <c r="V19" s="8"/>
      <c r="W19" s="8"/>
      <c r="X19" s="8"/>
      <c r="Y19" s="31"/>
    </row>
    <row r="20" spans="5:25" x14ac:dyDescent="0.25">
      <c r="E20" s="24"/>
      <c r="F20" s="8"/>
      <c r="G20" s="8"/>
      <c r="H20" s="32"/>
      <c r="I20" s="8"/>
      <c r="J20" s="8"/>
      <c r="K20" s="8"/>
      <c r="L20" s="8"/>
      <c r="M20" s="8"/>
      <c r="N20" s="8"/>
      <c r="O20" s="8"/>
      <c r="P20" s="8"/>
      <c r="Q20" s="8"/>
      <c r="R20" s="8"/>
      <c r="S20" s="28">
        <v>3</v>
      </c>
      <c r="T20" s="38"/>
      <c r="U20" s="28">
        <v>6</v>
      </c>
      <c r="V20" s="8"/>
      <c r="W20" s="8"/>
      <c r="X20" s="8"/>
      <c r="Y20" s="9"/>
    </row>
    <row r="21" spans="5:25" ht="15.75" thickBot="1" x14ac:dyDescent="0.3">
      <c r="E21" s="24"/>
      <c r="F21" s="8"/>
      <c r="G21" s="8"/>
      <c r="H21" s="8"/>
      <c r="I21" s="8"/>
      <c r="J21" s="8"/>
      <c r="K21" s="8"/>
      <c r="L21" s="8"/>
      <c r="M21" s="8"/>
      <c r="N21" s="8"/>
      <c r="O21" s="8"/>
      <c r="P21" s="8"/>
      <c r="Q21" s="8"/>
      <c r="R21" s="8"/>
      <c r="S21" s="8"/>
      <c r="T21" s="39"/>
      <c r="U21" s="8"/>
      <c r="V21" s="8"/>
      <c r="W21" s="8"/>
      <c r="X21" s="8"/>
      <c r="Y21" s="9"/>
    </row>
    <row r="22" spans="5:25" ht="15.75" thickBot="1" x14ac:dyDescent="0.3">
      <c r="E22" s="33"/>
      <c r="F22" s="19"/>
      <c r="G22" s="19"/>
      <c r="H22" s="19"/>
      <c r="I22" s="19"/>
      <c r="J22" s="19"/>
      <c r="K22" s="19"/>
      <c r="L22" s="19"/>
      <c r="M22" s="19"/>
      <c r="N22" s="19"/>
      <c r="O22" s="19"/>
      <c r="P22" s="19"/>
      <c r="Q22" s="19"/>
      <c r="R22" s="19"/>
      <c r="S22" s="19"/>
      <c r="T22" s="19"/>
      <c r="U22" s="19"/>
      <c r="V22" s="19"/>
      <c r="W22" s="19"/>
      <c r="X22" s="19"/>
      <c r="Y22" s="21"/>
    </row>
    <row r="23" spans="5:25" x14ac:dyDescent="0.25">
      <c r="F23" s="4"/>
      <c r="J23" s="4"/>
      <c r="K23" s="4"/>
      <c r="L23" s="4"/>
      <c r="P23" s="4"/>
      <c r="Q23" s="4"/>
      <c r="R23" s="4"/>
      <c r="V23" s="4"/>
    </row>
  </sheetData>
  <mergeCells count="5">
    <mergeCell ref="E1:Y1"/>
    <mergeCell ref="F13:L13"/>
    <mergeCell ref="P13:Y13"/>
    <mergeCell ref="T15:T21"/>
    <mergeCell ref="H17:H19"/>
  </mergeCells>
  <conditionalFormatting sqref="G3 G5 G8 G10 M3 M5 M8 M10 S3 S5 S8 S10">
    <cfRule type="expression" dxfId="29" priority="4">
      <formula>IF(OR(AND(F3&lt;&gt;"",F4=""),AND(F3="",F4&lt;&gt;"")),1)</formula>
    </cfRule>
    <cfRule type="expression" dxfId="28" priority="6">
      <formula>IF(AND(F3&lt;&gt;"",F4&lt;&gt;""),1)</formula>
    </cfRule>
  </conditionalFormatting>
  <conditionalFormatting sqref="O3 O5 O8 O10 U3 U5 U8 U10 I3 I5 I8 I10">
    <cfRule type="expression" dxfId="27" priority="3">
      <formula>IF(OR(AND(J3&lt;&gt;"",J4=""),AND(J3="",J4&lt;&gt;"")),1)</formula>
    </cfRule>
  </conditionalFormatting>
  <conditionalFormatting sqref="O3 O5 O8 O10 U3 U5 U8 U10 I3 I5 I8 I10">
    <cfRule type="expression" dxfId="26" priority="5">
      <formula>IF(AND(J3&lt;&gt;"",J4&lt;&gt;""),1)</formula>
    </cfRule>
  </conditionalFormatting>
  <conditionalFormatting sqref="J15:J18 W15:W18">
    <cfRule type="expression" dxfId="25" priority="2">
      <formula>IF(L15&lt;&gt;"",1)</formula>
    </cfRule>
  </conditionalFormatting>
  <conditionalFormatting sqref="J15:J18 W15:W18">
    <cfRule type="expression" dxfId="24" priority="1">
      <formula>IF(L15="",1)</formula>
    </cfRule>
  </conditionalFormatting>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Novodia">
                <anchor moveWithCells="1" sizeWithCells="1">
                  <from>
                    <xdr:col>0</xdr:col>
                    <xdr:colOff>76200</xdr:colOff>
                    <xdr:row>7</xdr:row>
                    <xdr:rowOff>57150</xdr:rowOff>
                  </from>
                  <to>
                    <xdr:col>0</xdr:col>
                    <xdr:colOff>704850</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916B3-1CD0-4D4C-A079-B523F938554C}">
  <sheetPr codeName="Planilha7"/>
  <dimension ref="B1:AE23"/>
  <sheetViews>
    <sheetView workbookViewId="0">
      <selection activeCell="E1" sqref="E1:Y1"/>
    </sheetView>
  </sheetViews>
  <sheetFormatPr defaultRowHeight="15" outlineLevelCol="1" x14ac:dyDescent="0.25"/>
  <cols>
    <col min="1" max="1" width="11.140625" style="1" customWidth="1"/>
    <col min="2" max="2" width="21.85546875" style="1" bestFit="1" customWidth="1"/>
    <col min="3" max="3" width="11.7109375" style="1" customWidth="1"/>
    <col min="4" max="4" width="7.85546875" style="1" customWidth="1"/>
    <col min="5" max="5" width="15.5703125" style="1" bestFit="1" customWidth="1"/>
    <col min="6" max="6" width="6.7109375" style="1" bestFit="1" customWidth="1"/>
    <col min="7" max="7" width="3" style="1" customWidth="1"/>
    <col min="8" max="8" width="9.7109375" style="1" customWidth="1"/>
    <col min="9" max="9" width="6.7109375" style="1" bestFit="1" customWidth="1"/>
    <col min="10" max="10" width="8.42578125" style="1" bestFit="1" customWidth="1"/>
    <col min="11" max="11" width="1.140625" style="1" customWidth="1"/>
    <col min="12" max="12" width="7.140625" style="1" bestFit="1" customWidth="1"/>
    <col min="13" max="13" width="3.140625" style="1" customWidth="1"/>
    <col min="14" max="16" width="6.7109375" style="1" bestFit="1" customWidth="1"/>
    <col min="17" max="17" width="1.140625" style="1" customWidth="1"/>
    <col min="18" max="19" width="6.7109375" style="1" bestFit="1" customWidth="1"/>
    <col min="20" max="20" width="9.7109375" style="1" customWidth="1"/>
    <col min="21" max="21" width="3.140625" style="1" customWidth="1"/>
    <col min="22" max="22" width="6.7109375" style="1" bestFit="1" customWidth="1"/>
    <col min="23" max="23" width="8.85546875" style="1" bestFit="1" customWidth="1"/>
    <col min="24" max="24" width="1.140625" style="1" customWidth="1"/>
    <col min="25" max="25" width="8.85546875" style="1" customWidth="1"/>
    <col min="26" max="26" width="3" style="1" customWidth="1"/>
    <col min="27" max="27" width="5.7109375" style="1" bestFit="1" customWidth="1"/>
    <col min="28" max="28" width="34.5703125" style="1" customWidth="1"/>
    <col min="29" max="29" width="3" style="3" hidden="1" customWidth="1" outlineLevel="1"/>
    <col min="30" max="30" width="29.7109375" style="1" hidden="1" customWidth="1" outlineLevel="1"/>
    <col min="31" max="31" width="9.140625" style="1" collapsed="1"/>
    <col min="32" max="16384" width="9.140625" style="1"/>
  </cols>
  <sheetData>
    <row r="1" spans="2:30" ht="15.75" thickBot="1" x14ac:dyDescent="0.3">
      <c r="E1" s="34" t="s">
        <v>0</v>
      </c>
      <c r="F1" s="35"/>
      <c r="G1" s="35"/>
      <c r="H1" s="35"/>
      <c r="I1" s="35"/>
      <c r="J1" s="35"/>
      <c r="K1" s="35"/>
      <c r="L1" s="35"/>
      <c r="M1" s="35"/>
      <c r="N1" s="35"/>
      <c r="O1" s="35"/>
      <c r="P1" s="35"/>
      <c r="Q1" s="35"/>
      <c r="R1" s="35"/>
      <c r="S1" s="35"/>
      <c r="T1" s="35"/>
      <c r="U1" s="35"/>
      <c r="V1" s="35"/>
      <c r="W1" s="35"/>
      <c r="X1" s="35"/>
      <c r="Y1" s="36"/>
      <c r="Z1" s="2"/>
      <c r="AA1" s="2"/>
      <c r="AC1" s="3">
        <f>IF(AND(L3&lt;&gt;"",L5&lt;&gt;"",L8&lt;&gt;"",L10&lt;&gt;"",P3&lt;&gt;"",P5&lt;&gt;"",P8&lt;&gt;"",P10&lt;&gt;"",F3&lt;&gt;"",F5&lt;&gt;"",F8&lt;&gt;"",F10&lt;&gt;"",J3&lt;&gt;"",J5&lt;&gt;"",J8&lt;&gt;"",J10&lt;&gt;"",R3&lt;&gt;"",R5&lt;&gt;"",R8&lt;&gt;"",R10&lt;&gt;"",V3&lt;&gt;"",V5&lt;&gt;"",V8&lt;&gt;"",V10&lt;&gt;""),1,0)</f>
        <v>0</v>
      </c>
      <c r="AD1" s="1" t="s">
        <v>37</v>
      </c>
    </row>
    <row r="2" spans="2:30" ht="15.75" thickBot="1" x14ac:dyDescent="0.3">
      <c r="E2" s="7" t="s">
        <v>34</v>
      </c>
      <c r="F2" s="8"/>
      <c r="G2" s="8"/>
      <c r="H2" s="8"/>
      <c r="I2" s="8"/>
      <c r="J2" s="8"/>
      <c r="K2" s="8"/>
      <c r="L2" s="8"/>
      <c r="M2" s="8"/>
      <c r="N2" s="8"/>
      <c r="O2" s="8"/>
      <c r="P2" s="8"/>
      <c r="Q2" s="8"/>
      <c r="R2" s="8"/>
      <c r="S2" s="8"/>
      <c r="T2" s="8"/>
      <c r="U2" s="8"/>
      <c r="V2" s="8"/>
      <c r="W2" s="8"/>
      <c r="X2" s="8"/>
      <c r="Y2" s="9"/>
      <c r="AC2" s="3">
        <f>IF(AND(L4&lt;&gt;"",L6&lt;&gt;"",L9&lt;&gt;"",L11&lt;&gt;"",P4&lt;&gt;"",P6&lt;&gt;"",P9&lt;&gt;"",P11&lt;&gt;"",F4&lt;&gt;"",F6&lt;&gt;"",F9&lt;&gt;"",F11&lt;&gt;"",J4&lt;&gt;"",J6&lt;&gt;"",J9&lt;&gt;"",J11&lt;&gt;"",R4&lt;&gt;"",R6&lt;&gt;"",R9&lt;&gt;"",R11&lt;&gt;"",V4&lt;&gt;"",V6&lt;&gt;"",V9&lt;&gt;"",V11&lt;&gt;""),1,0)</f>
        <v>0</v>
      </c>
      <c r="AD2" s="1" t="s">
        <v>38</v>
      </c>
    </row>
    <row r="3" spans="2:30" x14ac:dyDescent="0.25">
      <c r="E3" s="10" t="s">
        <v>35</v>
      </c>
      <c r="F3" s="11"/>
      <c r="G3" s="12" t="s">
        <v>2</v>
      </c>
      <c r="H3" s="13"/>
      <c r="I3" s="12" t="s">
        <v>3</v>
      </c>
      <c r="J3" s="11"/>
      <c r="K3" s="8"/>
      <c r="L3" s="11"/>
      <c r="M3" s="12" t="s">
        <v>4</v>
      </c>
      <c r="N3" s="13"/>
      <c r="O3" s="12" t="s">
        <v>5</v>
      </c>
      <c r="P3" s="11"/>
      <c r="Q3" s="8"/>
      <c r="R3" s="11"/>
      <c r="S3" s="12" t="s">
        <v>6</v>
      </c>
      <c r="T3" s="13"/>
      <c r="U3" s="12" t="s">
        <v>7</v>
      </c>
      <c r="V3" s="11"/>
      <c r="W3" s="8"/>
      <c r="X3" s="8"/>
      <c r="Y3" s="9"/>
      <c r="AC3" s="3">
        <f>SUM(AC1:AC2)</f>
        <v>0</v>
      </c>
      <c r="AD3" s="1" t="s">
        <v>39</v>
      </c>
    </row>
    <row r="4" spans="2:30" ht="15.75" thickBot="1" x14ac:dyDescent="0.3">
      <c r="E4" s="14" t="s">
        <v>36</v>
      </c>
      <c r="F4" s="15"/>
      <c r="G4" s="8"/>
      <c r="H4" s="16"/>
      <c r="I4" s="8"/>
      <c r="J4" s="15"/>
      <c r="K4" s="8"/>
      <c r="L4" s="15"/>
      <c r="M4" s="8"/>
      <c r="N4" s="16"/>
      <c r="O4" s="8"/>
      <c r="P4" s="15"/>
      <c r="Q4" s="8"/>
      <c r="R4" s="15"/>
      <c r="S4" s="8"/>
      <c r="T4" s="16"/>
      <c r="U4" s="8"/>
      <c r="V4" s="15"/>
      <c r="W4" s="8"/>
      <c r="X4" s="8"/>
      <c r="Y4" s="9"/>
    </row>
    <row r="5" spans="2:30" x14ac:dyDescent="0.25">
      <c r="E5" s="10" t="s">
        <v>35</v>
      </c>
      <c r="F5" s="11"/>
      <c r="G5" s="12" t="s">
        <v>9</v>
      </c>
      <c r="H5" s="16"/>
      <c r="I5" s="12" t="s">
        <v>10</v>
      </c>
      <c r="J5" s="11"/>
      <c r="K5" s="8"/>
      <c r="L5" s="11"/>
      <c r="M5" s="12" t="s">
        <v>11</v>
      </c>
      <c r="N5" s="16"/>
      <c r="O5" s="12" t="s">
        <v>12</v>
      </c>
      <c r="P5" s="11"/>
      <c r="Q5" s="8"/>
      <c r="R5" s="11"/>
      <c r="S5" s="12" t="s">
        <v>13</v>
      </c>
      <c r="T5" s="16"/>
      <c r="U5" s="12" t="s">
        <v>14</v>
      </c>
      <c r="V5" s="11"/>
      <c r="W5" s="8"/>
      <c r="X5" s="8"/>
      <c r="Y5" s="9"/>
      <c r="AC5" s="3">
        <f>SUM(IF(F3&lt;&gt;"",1,0),IF(F5&lt;&gt;"",1,0),IF(F8&lt;&gt;"",1,0),IF(F10&lt;&gt;"",1,0),IF(J3&lt;&gt;"",1,0),IF(J5&lt;&gt;"",1,0),IF(J8&lt;&gt;"",1,0),IF(J10&lt;&gt;"",1,0),IF(L3&lt;&gt;"",1,0),IF(L5&lt;&gt;"",1,0),IF(L8&lt;&gt;"",1,0),IF(L10&lt;&gt;"",1,0),IF(P3&lt;&gt;"",1,0),IF(P5&lt;&gt;"",1,0),IF(P8&lt;&gt;"",1,0),IF(P10&lt;&gt;"",1,0),IF(R3&lt;&gt;"",1,0),IF(R5&lt;&gt;"",1,0),IF(R8&lt;&gt;"",1,0),IF(R10&lt;&gt;"",1,0),IF(V3&lt;&gt;"",1,0),IF(V5&lt;&gt;"",1,0),IF(V8&lt;&gt;"",1,0),IF(V10&lt;&gt;"",1,0))</f>
        <v>0</v>
      </c>
      <c r="AD5" s="1" t="s">
        <v>40</v>
      </c>
    </row>
    <row r="6" spans="2:30" ht="15.75" thickBot="1" x14ac:dyDescent="0.3">
      <c r="E6" s="14" t="s">
        <v>36</v>
      </c>
      <c r="F6" s="15"/>
      <c r="G6" s="8"/>
      <c r="H6" s="16"/>
      <c r="I6" s="8"/>
      <c r="J6" s="15"/>
      <c r="K6" s="8"/>
      <c r="L6" s="15"/>
      <c r="M6" s="8"/>
      <c r="N6" s="16"/>
      <c r="O6" s="8"/>
      <c r="P6" s="15"/>
      <c r="Q6" s="8"/>
      <c r="R6" s="15"/>
      <c r="S6" s="8"/>
      <c r="T6" s="16"/>
      <c r="U6" s="8"/>
      <c r="V6" s="15"/>
      <c r="W6" s="8"/>
      <c r="X6" s="8"/>
      <c r="Y6" s="9"/>
      <c r="AC6" s="3">
        <f>SUM(IF(F4&lt;&gt;"",1,0),IF(F6&lt;&gt;"",1,0),IF(F9&lt;&gt;"",1,0),IF(F11&lt;&gt;"",1,0),IF(J4&lt;&gt;"",1,0),IF(J6&lt;&gt;"",1,0),IF(J9&lt;&gt;"",1,0),IF(J11&lt;&gt;"",1,0),IF(L4&lt;&gt;"",1,0),IF(L6&lt;&gt;"",1,0),IF(L9&lt;&gt;"",1,0),IF(L11&lt;&gt;"",1,0),IF(P4&lt;&gt;"",1,0),IF(P6&lt;&gt;"",1,0),IF(P9&lt;&gt;"",1,0),IF(P11&lt;&gt;"",1,0),IF(R4&lt;&gt;"",1,0),IF(R6&lt;&gt;"",1,0),IF(R9&lt;&gt;"",1,0),IF(R11&lt;&gt;"",1,0),IF(V4&lt;&gt;"",1,0),IF(V6&lt;&gt;"",1,0),IF(V9&lt;&gt;"",1,0),IF(V11&lt;&gt;"",1,0))</f>
        <v>0</v>
      </c>
      <c r="AD6" s="1" t="s">
        <v>41</v>
      </c>
    </row>
    <row r="7" spans="2:30" ht="15.75" thickBot="1" x14ac:dyDescent="0.3">
      <c r="E7" s="8"/>
      <c r="F7" s="8"/>
      <c r="G7" s="8"/>
      <c r="H7" s="16"/>
      <c r="I7" s="8"/>
      <c r="J7" s="8"/>
      <c r="K7" s="8"/>
      <c r="L7" s="8"/>
      <c r="M7" s="8"/>
      <c r="N7" s="16"/>
      <c r="O7" s="8"/>
      <c r="P7" s="8"/>
      <c r="Q7" s="8"/>
      <c r="R7" s="8"/>
      <c r="S7" s="8"/>
      <c r="T7" s="16"/>
      <c r="U7" s="8"/>
      <c r="V7" s="8"/>
      <c r="W7" s="8"/>
      <c r="X7" s="8"/>
      <c r="Y7" s="9"/>
      <c r="AC7" s="3">
        <v>24</v>
      </c>
      <c r="AD7" s="1" t="s">
        <v>26</v>
      </c>
    </row>
    <row r="8" spans="2:30" x14ac:dyDescent="0.25">
      <c r="B8" s="17" t="s">
        <v>27</v>
      </c>
      <c r="C8" s="5">
        <v>43494</v>
      </c>
      <c r="E8" s="10" t="s">
        <v>35</v>
      </c>
      <c r="F8" s="11"/>
      <c r="G8" s="12" t="s">
        <v>15</v>
      </c>
      <c r="H8" s="16"/>
      <c r="I8" s="12" t="s">
        <v>16</v>
      </c>
      <c r="J8" s="11"/>
      <c r="K8" s="8"/>
      <c r="L8" s="11"/>
      <c r="M8" s="12" t="s">
        <v>17</v>
      </c>
      <c r="N8" s="16"/>
      <c r="O8" s="12" t="s">
        <v>18</v>
      </c>
      <c r="P8" s="11"/>
      <c r="Q8" s="8"/>
      <c r="R8" s="11"/>
      <c r="S8" s="12" t="s">
        <v>19</v>
      </c>
      <c r="T8" s="16"/>
      <c r="U8" s="12" t="s">
        <v>20</v>
      </c>
      <c r="V8" s="11"/>
      <c r="W8" s="8"/>
      <c r="X8" s="8"/>
      <c r="Y8" s="9"/>
    </row>
    <row r="9" spans="2:30" ht="15.75" thickBot="1" x14ac:dyDescent="0.3">
      <c r="B9" s="17" t="s">
        <v>42</v>
      </c>
      <c r="C9" s="6">
        <f>AC7-AC5</f>
        <v>24</v>
      </c>
      <c r="E9" s="14" t="s">
        <v>36</v>
      </c>
      <c r="F9" s="15"/>
      <c r="G9" s="8"/>
      <c r="H9" s="16"/>
      <c r="I9" s="8"/>
      <c r="J9" s="15"/>
      <c r="K9" s="8"/>
      <c r="L9" s="15"/>
      <c r="M9" s="8"/>
      <c r="N9" s="16"/>
      <c r="O9" s="8"/>
      <c r="P9" s="15"/>
      <c r="Q9" s="8"/>
      <c r="R9" s="15"/>
      <c r="S9" s="8"/>
      <c r="T9" s="16"/>
      <c r="U9" s="8"/>
      <c r="V9" s="15"/>
      <c r="W9" s="8"/>
      <c r="X9" s="8"/>
      <c r="Y9" s="9"/>
    </row>
    <row r="10" spans="2:30" ht="15.75" thickBot="1" x14ac:dyDescent="0.3">
      <c r="B10" s="17" t="s">
        <v>43</v>
      </c>
      <c r="C10" s="6">
        <f>AC7-AC6</f>
        <v>24</v>
      </c>
      <c r="E10" s="10" t="s">
        <v>35</v>
      </c>
      <c r="F10" s="11"/>
      <c r="G10" s="12" t="s">
        <v>21</v>
      </c>
      <c r="H10" s="18"/>
      <c r="I10" s="12" t="s">
        <v>22</v>
      </c>
      <c r="J10" s="11"/>
      <c r="K10" s="8"/>
      <c r="L10" s="11"/>
      <c r="M10" s="12" t="s">
        <v>23</v>
      </c>
      <c r="N10" s="18"/>
      <c r="O10" s="12" t="s">
        <v>23</v>
      </c>
      <c r="P10" s="11"/>
      <c r="Q10" s="8"/>
      <c r="R10" s="11"/>
      <c r="S10" s="12" t="s">
        <v>24</v>
      </c>
      <c r="T10" s="18"/>
      <c r="U10" s="12" t="s">
        <v>25</v>
      </c>
      <c r="V10" s="11"/>
      <c r="W10" s="8"/>
      <c r="X10" s="8"/>
      <c r="Y10" s="9"/>
    </row>
    <row r="11" spans="2:30" ht="15.75" thickBot="1" x14ac:dyDescent="0.3">
      <c r="E11" s="14" t="s">
        <v>36</v>
      </c>
      <c r="F11" s="15"/>
      <c r="G11" s="19"/>
      <c r="H11" s="19"/>
      <c r="I11" s="19"/>
      <c r="J11" s="15"/>
      <c r="K11" s="20"/>
      <c r="L11" s="15"/>
      <c r="M11" s="19"/>
      <c r="N11" s="19"/>
      <c r="O11" s="19"/>
      <c r="P11" s="15"/>
      <c r="Q11" s="20"/>
      <c r="R11" s="15"/>
      <c r="S11" s="19"/>
      <c r="T11" s="19"/>
      <c r="U11" s="19"/>
      <c r="V11" s="15"/>
      <c r="W11" s="19"/>
      <c r="X11" s="19"/>
      <c r="Y11" s="21"/>
    </row>
    <row r="12" spans="2:30" ht="15.75" thickBot="1" x14ac:dyDescent="0.3">
      <c r="E12" s="8"/>
      <c r="F12" s="8"/>
      <c r="G12" s="8"/>
      <c r="H12" s="8"/>
      <c r="I12" s="8"/>
      <c r="J12" s="8"/>
      <c r="K12" s="8"/>
      <c r="L12" s="8"/>
      <c r="M12" s="8"/>
      <c r="N12" s="8"/>
      <c r="O12" s="8"/>
      <c r="P12" s="8"/>
      <c r="Q12" s="8"/>
      <c r="R12" s="8"/>
      <c r="S12" s="8"/>
      <c r="T12" s="8"/>
      <c r="U12" s="8"/>
      <c r="V12" s="8"/>
      <c r="W12" s="8"/>
      <c r="X12" s="8"/>
      <c r="Y12" s="8"/>
    </row>
    <row r="13" spans="2:30" ht="15.75" thickBot="1" x14ac:dyDescent="0.3">
      <c r="E13" s="22"/>
      <c r="F13" s="34" t="s">
        <v>1</v>
      </c>
      <c r="G13" s="35"/>
      <c r="H13" s="35"/>
      <c r="I13" s="35"/>
      <c r="J13" s="35"/>
      <c r="K13" s="35"/>
      <c r="L13" s="36"/>
      <c r="M13" s="23"/>
      <c r="N13" s="23"/>
      <c r="O13" s="23"/>
      <c r="P13" s="34" t="s">
        <v>8</v>
      </c>
      <c r="Q13" s="35"/>
      <c r="R13" s="35"/>
      <c r="S13" s="35"/>
      <c r="T13" s="35"/>
      <c r="U13" s="35"/>
      <c r="V13" s="35"/>
      <c r="W13" s="35"/>
      <c r="X13" s="35"/>
      <c r="Y13" s="36"/>
    </row>
    <row r="14" spans="2:30" ht="15.75" thickBot="1" x14ac:dyDescent="0.3">
      <c r="E14" s="24"/>
      <c r="F14" s="8"/>
      <c r="G14" s="8"/>
      <c r="H14" s="8"/>
      <c r="I14" s="8"/>
      <c r="J14" s="25" t="s">
        <v>28</v>
      </c>
      <c r="K14" s="26"/>
      <c r="L14" s="27" t="s">
        <v>29</v>
      </c>
      <c r="M14" s="8"/>
      <c r="N14" s="8"/>
      <c r="O14" s="8"/>
      <c r="P14" s="8"/>
      <c r="Q14" s="8"/>
      <c r="R14" s="8"/>
      <c r="S14" s="8"/>
      <c r="T14" s="8"/>
      <c r="U14" s="8"/>
      <c r="V14" s="8"/>
      <c r="W14" s="25" t="s">
        <v>28</v>
      </c>
      <c r="X14" s="26"/>
      <c r="Y14" s="27" t="s">
        <v>29</v>
      </c>
    </row>
    <row r="15" spans="2:30" x14ac:dyDescent="0.25">
      <c r="E15" s="24"/>
      <c r="F15" s="8"/>
      <c r="G15" s="8"/>
      <c r="H15" s="8"/>
      <c r="I15" s="8"/>
      <c r="J15" s="10" t="s">
        <v>30</v>
      </c>
      <c r="K15" s="8"/>
      <c r="L15" s="11"/>
      <c r="M15" s="8"/>
      <c r="N15" s="8"/>
      <c r="O15" s="8"/>
      <c r="P15" s="8"/>
      <c r="Q15" s="8"/>
      <c r="R15" s="8"/>
      <c r="S15" s="8"/>
      <c r="T15" s="37"/>
      <c r="U15" s="8"/>
      <c r="V15" s="8"/>
      <c r="W15" s="10" t="s">
        <v>30</v>
      </c>
      <c r="X15" s="8"/>
      <c r="Y15" s="11"/>
    </row>
    <row r="16" spans="2:30" ht="15.75" thickBot="1" x14ac:dyDescent="0.3">
      <c r="E16" s="24"/>
      <c r="F16" s="8"/>
      <c r="G16" s="8"/>
      <c r="H16" s="28">
        <v>2</v>
      </c>
      <c r="I16" s="8"/>
      <c r="J16" s="14" t="s">
        <v>31</v>
      </c>
      <c r="K16" s="8"/>
      <c r="L16" s="29"/>
      <c r="M16" s="8"/>
      <c r="N16" s="8"/>
      <c r="O16" s="8"/>
      <c r="P16" s="8"/>
      <c r="Q16" s="8"/>
      <c r="R16" s="8"/>
      <c r="S16" s="28">
        <v>1</v>
      </c>
      <c r="T16" s="38"/>
      <c r="U16" s="28">
        <v>4</v>
      </c>
      <c r="V16" s="8"/>
      <c r="W16" s="14" t="s">
        <v>31</v>
      </c>
      <c r="X16" s="8"/>
      <c r="Y16" s="29"/>
    </row>
    <row r="17" spans="5:25" x14ac:dyDescent="0.25">
      <c r="E17" s="24"/>
      <c r="F17" s="8"/>
      <c r="G17" s="8"/>
      <c r="H17" s="37"/>
      <c r="I17" s="8"/>
      <c r="J17" s="10" t="s">
        <v>32</v>
      </c>
      <c r="K17" s="8"/>
      <c r="L17" s="30"/>
      <c r="M17" s="8"/>
      <c r="N17" s="8"/>
      <c r="O17" s="8"/>
      <c r="P17" s="8"/>
      <c r="Q17" s="8"/>
      <c r="R17" s="8"/>
      <c r="S17" s="8"/>
      <c r="T17" s="38"/>
      <c r="U17" s="8"/>
      <c r="V17" s="8"/>
      <c r="W17" s="10" t="s">
        <v>32</v>
      </c>
      <c r="X17" s="8"/>
      <c r="Y17" s="30"/>
    </row>
    <row r="18" spans="5:25" ht="15.75" thickBot="1" x14ac:dyDescent="0.3">
      <c r="E18" s="24"/>
      <c r="F18" s="8"/>
      <c r="G18" s="28">
        <v>1</v>
      </c>
      <c r="H18" s="38"/>
      <c r="I18" s="28">
        <v>3</v>
      </c>
      <c r="J18" s="14" t="s">
        <v>33</v>
      </c>
      <c r="K18" s="8"/>
      <c r="L18" s="29"/>
      <c r="M18" s="8"/>
      <c r="N18" s="8"/>
      <c r="O18" s="8"/>
      <c r="P18" s="8"/>
      <c r="Q18" s="8"/>
      <c r="R18" s="8"/>
      <c r="S18" s="28">
        <v>2</v>
      </c>
      <c r="T18" s="38"/>
      <c r="U18" s="28">
        <v>5</v>
      </c>
      <c r="V18" s="8"/>
      <c r="W18" s="14" t="s">
        <v>33</v>
      </c>
      <c r="X18" s="8"/>
      <c r="Y18" s="29"/>
    </row>
    <row r="19" spans="5:25" ht="15.75" thickBot="1" x14ac:dyDescent="0.3">
      <c r="E19" s="24"/>
      <c r="F19" s="8"/>
      <c r="G19" s="8"/>
      <c r="H19" s="39"/>
      <c r="I19" s="8"/>
      <c r="J19" s="8"/>
      <c r="K19" s="8"/>
      <c r="L19" s="8"/>
      <c r="M19" s="8"/>
      <c r="N19" s="8"/>
      <c r="O19" s="8"/>
      <c r="P19" s="8"/>
      <c r="Q19" s="8"/>
      <c r="R19" s="8"/>
      <c r="S19" s="8"/>
      <c r="T19" s="38"/>
      <c r="U19" s="8"/>
      <c r="V19" s="8"/>
      <c r="W19" s="8"/>
      <c r="X19" s="8"/>
      <c r="Y19" s="31"/>
    </row>
    <row r="20" spans="5:25" x14ac:dyDescent="0.25">
      <c r="E20" s="24"/>
      <c r="F20" s="8"/>
      <c r="G20" s="8"/>
      <c r="H20" s="32"/>
      <c r="I20" s="8"/>
      <c r="J20" s="8"/>
      <c r="K20" s="8"/>
      <c r="L20" s="8"/>
      <c r="M20" s="8"/>
      <c r="N20" s="8"/>
      <c r="O20" s="8"/>
      <c r="P20" s="8"/>
      <c r="Q20" s="8"/>
      <c r="R20" s="8"/>
      <c r="S20" s="28">
        <v>3</v>
      </c>
      <c r="T20" s="38"/>
      <c r="U20" s="28">
        <v>6</v>
      </c>
      <c r="V20" s="8"/>
      <c r="W20" s="8"/>
      <c r="X20" s="8"/>
      <c r="Y20" s="9"/>
    </row>
    <row r="21" spans="5:25" ht="15.75" thickBot="1" x14ac:dyDescent="0.3">
      <c r="E21" s="24"/>
      <c r="F21" s="8"/>
      <c r="G21" s="8"/>
      <c r="H21" s="8"/>
      <c r="I21" s="8"/>
      <c r="J21" s="8"/>
      <c r="K21" s="8"/>
      <c r="L21" s="8"/>
      <c r="M21" s="8"/>
      <c r="N21" s="8"/>
      <c r="O21" s="8"/>
      <c r="P21" s="8"/>
      <c r="Q21" s="8"/>
      <c r="R21" s="8"/>
      <c r="S21" s="8"/>
      <c r="T21" s="39"/>
      <c r="U21" s="8"/>
      <c r="V21" s="8"/>
      <c r="W21" s="8"/>
      <c r="X21" s="8"/>
      <c r="Y21" s="9"/>
    </row>
    <row r="22" spans="5:25" ht="15.75" thickBot="1" x14ac:dyDescent="0.3">
      <c r="E22" s="33"/>
      <c r="F22" s="19"/>
      <c r="G22" s="19"/>
      <c r="H22" s="19"/>
      <c r="I22" s="19"/>
      <c r="J22" s="19"/>
      <c r="K22" s="19"/>
      <c r="L22" s="19"/>
      <c r="M22" s="19"/>
      <c r="N22" s="19"/>
      <c r="O22" s="19"/>
      <c r="P22" s="19"/>
      <c r="Q22" s="19"/>
      <c r="R22" s="19"/>
      <c r="S22" s="19"/>
      <c r="T22" s="19"/>
      <c r="U22" s="19"/>
      <c r="V22" s="19"/>
      <c r="W22" s="19"/>
      <c r="X22" s="19"/>
      <c r="Y22" s="21"/>
    </row>
    <row r="23" spans="5:25" x14ac:dyDescent="0.25">
      <c r="F23" s="4"/>
      <c r="J23" s="4"/>
      <c r="K23" s="4"/>
      <c r="L23" s="4"/>
      <c r="P23" s="4"/>
      <c r="Q23" s="4"/>
      <c r="R23" s="4"/>
      <c r="V23" s="4"/>
    </row>
  </sheetData>
  <mergeCells count="5">
    <mergeCell ref="E1:Y1"/>
    <mergeCell ref="F13:L13"/>
    <mergeCell ref="P13:Y13"/>
    <mergeCell ref="T15:T21"/>
    <mergeCell ref="H17:H19"/>
  </mergeCells>
  <conditionalFormatting sqref="G3 G5 G8 G10 M3 M5 M8 M10 S3 S5 S8 S10">
    <cfRule type="expression" dxfId="23" priority="4">
      <formula>IF(OR(AND(F3&lt;&gt;"",F4=""),AND(F3="",F4&lt;&gt;"")),1)</formula>
    </cfRule>
    <cfRule type="expression" dxfId="22" priority="6">
      <formula>IF(AND(F3&lt;&gt;"",F4&lt;&gt;""),1)</formula>
    </cfRule>
  </conditionalFormatting>
  <conditionalFormatting sqref="O3 O5 O8 O10 U3 U5 U8 U10 I3 I5 I8 I10">
    <cfRule type="expression" dxfId="21" priority="3">
      <formula>IF(OR(AND(J3&lt;&gt;"",J4=""),AND(J3="",J4&lt;&gt;"")),1)</formula>
    </cfRule>
  </conditionalFormatting>
  <conditionalFormatting sqref="O3 O5 O8 O10 U3 U5 U8 U10 I3 I5 I8 I10">
    <cfRule type="expression" dxfId="20" priority="5">
      <formula>IF(AND(J3&lt;&gt;"",J4&lt;&gt;""),1)</formula>
    </cfRule>
  </conditionalFormatting>
  <conditionalFormatting sqref="J15:J18 W15:W18">
    <cfRule type="expression" dxfId="19" priority="2">
      <formula>IF(L15&lt;&gt;"",1)</formula>
    </cfRule>
  </conditionalFormatting>
  <conditionalFormatting sqref="J15:J18 W15:W18">
    <cfRule type="expression" dxfId="18" priority="1">
      <formula>IF(L15="",1)</formula>
    </cfRule>
  </conditionalFormatting>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Novodia">
                <anchor moveWithCells="1" sizeWithCells="1">
                  <from>
                    <xdr:col>0</xdr:col>
                    <xdr:colOff>76200</xdr:colOff>
                    <xdr:row>7</xdr:row>
                    <xdr:rowOff>57150</xdr:rowOff>
                  </from>
                  <to>
                    <xdr:col>0</xdr:col>
                    <xdr:colOff>704850</xdr:colOff>
                    <xdr:row>9</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C2FE6-363C-49C0-9A37-06D3B3D083F2}">
  <sheetPr codeName="Planilha8"/>
  <dimension ref="B1:AE23"/>
  <sheetViews>
    <sheetView workbookViewId="0">
      <selection activeCell="E1" sqref="E1:Y1"/>
    </sheetView>
  </sheetViews>
  <sheetFormatPr defaultRowHeight="15" outlineLevelCol="1" x14ac:dyDescent="0.25"/>
  <cols>
    <col min="1" max="1" width="11.140625" style="1" customWidth="1"/>
    <col min="2" max="2" width="21.85546875" style="1" bestFit="1" customWidth="1"/>
    <col min="3" max="3" width="11.7109375" style="1" customWidth="1"/>
    <col min="4" max="4" width="7.85546875" style="1" customWidth="1"/>
    <col min="5" max="5" width="15.5703125" style="1" bestFit="1" customWidth="1"/>
    <col min="6" max="6" width="6.7109375" style="1" bestFit="1" customWidth="1"/>
    <col min="7" max="7" width="3" style="1" customWidth="1"/>
    <col min="8" max="8" width="9.7109375" style="1" customWidth="1"/>
    <col min="9" max="9" width="6.7109375" style="1" bestFit="1" customWidth="1"/>
    <col min="10" max="10" width="8.42578125" style="1" bestFit="1" customWidth="1"/>
    <col min="11" max="11" width="1.140625" style="1" customWidth="1"/>
    <col min="12" max="12" width="7.140625" style="1" bestFit="1" customWidth="1"/>
    <col min="13" max="13" width="3.140625" style="1" customWidth="1"/>
    <col min="14" max="16" width="6.7109375" style="1" bestFit="1" customWidth="1"/>
    <col min="17" max="17" width="1.140625" style="1" customWidth="1"/>
    <col min="18" max="19" width="6.7109375" style="1" bestFit="1" customWidth="1"/>
    <col min="20" max="20" width="9.7109375" style="1" customWidth="1"/>
    <col min="21" max="21" width="3.140625" style="1" customWidth="1"/>
    <col min="22" max="22" width="6.7109375" style="1" bestFit="1" customWidth="1"/>
    <col min="23" max="23" width="8.85546875" style="1" bestFit="1" customWidth="1"/>
    <col min="24" max="24" width="1.140625" style="1" customWidth="1"/>
    <col min="25" max="25" width="8.85546875" style="1" customWidth="1"/>
    <col min="26" max="26" width="3" style="1" customWidth="1"/>
    <col min="27" max="27" width="5.7109375" style="1" bestFit="1" customWidth="1"/>
    <col min="28" max="28" width="34.5703125" style="1" customWidth="1"/>
    <col min="29" max="29" width="3" style="3" hidden="1" customWidth="1" outlineLevel="1"/>
    <col min="30" max="30" width="29.7109375" style="1" hidden="1" customWidth="1" outlineLevel="1"/>
    <col min="31" max="31" width="9.140625" style="1" collapsed="1"/>
    <col min="32" max="16384" width="9.140625" style="1"/>
  </cols>
  <sheetData>
    <row r="1" spans="2:30" ht="15.75" thickBot="1" x14ac:dyDescent="0.3">
      <c r="E1" s="34" t="s">
        <v>0</v>
      </c>
      <c r="F1" s="35"/>
      <c r="G1" s="35"/>
      <c r="H1" s="35"/>
      <c r="I1" s="35"/>
      <c r="J1" s="35"/>
      <c r="K1" s="35"/>
      <c r="L1" s="35"/>
      <c r="M1" s="35"/>
      <c r="N1" s="35"/>
      <c r="O1" s="35"/>
      <c r="P1" s="35"/>
      <c r="Q1" s="35"/>
      <c r="R1" s="35"/>
      <c r="S1" s="35"/>
      <c r="T1" s="35"/>
      <c r="U1" s="35"/>
      <c r="V1" s="35"/>
      <c r="W1" s="35"/>
      <c r="X1" s="35"/>
      <c r="Y1" s="36"/>
      <c r="Z1" s="2"/>
      <c r="AA1" s="2"/>
      <c r="AC1" s="3">
        <f>IF(AND(L3&lt;&gt;"",L5&lt;&gt;"",L8&lt;&gt;"",L10&lt;&gt;"",P3&lt;&gt;"",P5&lt;&gt;"",P8&lt;&gt;"",P10&lt;&gt;"",F3&lt;&gt;"",F5&lt;&gt;"",F8&lt;&gt;"",F10&lt;&gt;"",J3&lt;&gt;"",J5&lt;&gt;"",J8&lt;&gt;"",J10&lt;&gt;"",R3&lt;&gt;"",R5&lt;&gt;"",R8&lt;&gt;"",R10&lt;&gt;"",V3&lt;&gt;"",V5&lt;&gt;"",V8&lt;&gt;"",V10&lt;&gt;""),1,0)</f>
        <v>0</v>
      </c>
      <c r="AD1" s="1" t="s">
        <v>37</v>
      </c>
    </row>
    <row r="2" spans="2:30" ht="15.75" thickBot="1" x14ac:dyDescent="0.3">
      <c r="E2" s="7" t="s">
        <v>34</v>
      </c>
      <c r="F2" s="8"/>
      <c r="G2" s="8"/>
      <c r="H2" s="8"/>
      <c r="I2" s="8"/>
      <c r="J2" s="8"/>
      <c r="K2" s="8"/>
      <c r="L2" s="8"/>
      <c r="M2" s="8"/>
      <c r="N2" s="8"/>
      <c r="O2" s="8"/>
      <c r="P2" s="8"/>
      <c r="Q2" s="8"/>
      <c r="R2" s="8"/>
      <c r="S2" s="8"/>
      <c r="T2" s="8"/>
      <c r="U2" s="8"/>
      <c r="V2" s="8"/>
      <c r="W2" s="8"/>
      <c r="X2" s="8"/>
      <c r="Y2" s="9"/>
      <c r="AC2" s="3">
        <f>IF(AND(L4&lt;&gt;"",L6&lt;&gt;"",L9&lt;&gt;"",L11&lt;&gt;"",P4&lt;&gt;"",P6&lt;&gt;"",P9&lt;&gt;"",P11&lt;&gt;"",F4&lt;&gt;"",F6&lt;&gt;"",F9&lt;&gt;"",F11&lt;&gt;"",J4&lt;&gt;"",J6&lt;&gt;"",J9&lt;&gt;"",J11&lt;&gt;"",R4&lt;&gt;"",R6&lt;&gt;"",R9&lt;&gt;"",R11&lt;&gt;"",V4&lt;&gt;"",V6&lt;&gt;"",V9&lt;&gt;"",V11&lt;&gt;""),1,0)</f>
        <v>0</v>
      </c>
      <c r="AD2" s="1" t="s">
        <v>38</v>
      </c>
    </row>
    <row r="3" spans="2:30" x14ac:dyDescent="0.25">
      <c r="E3" s="10" t="s">
        <v>35</v>
      </c>
      <c r="F3" s="11"/>
      <c r="G3" s="12" t="s">
        <v>2</v>
      </c>
      <c r="H3" s="13"/>
      <c r="I3" s="12" t="s">
        <v>3</v>
      </c>
      <c r="J3" s="11"/>
      <c r="K3" s="8"/>
      <c r="L3" s="11"/>
      <c r="M3" s="12" t="s">
        <v>4</v>
      </c>
      <c r="N3" s="13"/>
      <c r="O3" s="12" t="s">
        <v>5</v>
      </c>
      <c r="P3" s="11"/>
      <c r="Q3" s="8"/>
      <c r="R3" s="11"/>
      <c r="S3" s="12" t="s">
        <v>6</v>
      </c>
      <c r="T3" s="13"/>
      <c r="U3" s="12" t="s">
        <v>7</v>
      </c>
      <c r="V3" s="11"/>
      <c r="W3" s="8"/>
      <c r="X3" s="8"/>
      <c r="Y3" s="9"/>
      <c r="AC3" s="3">
        <f>SUM(AC1:AC2)</f>
        <v>0</v>
      </c>
      <c r="AD3" s="1" t="s">
        <v>39</v>
      </c>
    </row>
    <row r="4" spans="2:30" ht="15.75" thickBot="1" x14ac:dyDescent="0.3">
      <c r="E4" s="14" t="s">
        <v>36</v>
      </c>
      <c r="F4" s="15"/>
      <c r="G4" s="8"/>
      <c r="H4" s="16"/>
      <c r="I4" s="8"/>
      <c r="J4" s="15"/>
      <c r="K4" s="8"/>
      <c r="L4" s="15"/>
      <c r="M4" s="8"/>
      <c r="N4" s="16"/>
      <c r="O4" s="8"/>
      <c r="P4" s="15"/>
      <c r="Q4" s="8"/>
      <c r="R4" s="15"/>
      <c r="S4" s="8"/>
      <c r="T4" s="16"/>
      <c r="U4" s="8"/>
      <c r="V4" s="15"/>
      <c r="W4" s="8"/>
      <c r="X4" s="8"/>
      <c r="Y4" s="9"/>
    </row>
    <row r="5" spans="2:30" x14ac:dyDescent="0.25">
      <c r="E5" s="10" t="s">
        <v>35</v>
      </c>
      <c r="F5" s="11"/>
      <c r="G5" s="12" t="s">
        <v>9</v>
      </c>
      <c r="H5" s="16"/>
      <c r="I5" s="12" t="s">
        <v>10</v>
      </c>
      <c r="J5" s="11"/>
      <c r="K5" s="8"/>
      <c r="L5" s="11"/>
      <c r="M5" s="12" t="s">
        <v>11</v>
      </c>
      <c r="N5" s="16"/>
      <c r="O5" s="12" t="s">
        <v>12</v>
      </c>
      <c r="P5" s="11"/>
      <c r="Q5" s="8"/>
      <c r="R5" s="11"/>
      <c r="S5" s="12" t="s">
        <v>13</v>
      </c>
      <c r="T5" s="16"/>
      <c r="U5" s="12" t="s">
        <v>14</v>
      </c>
      <c r="V5" s="11"/>
      <c r="W5" s="8"/>
      <c r="X5" s="8"/>
      <c r="Y5" s="9"/>
      <c r="AC5" s="3">
        <f>SUM(IF(F3&lt;&gt;"",1,0),IF(F5&lt;&gt;"",1,0),IF(F8&lt;&gt;"",1,0),IF(F10&lt;&gt;"",1,0),IF(J3&lt;&gt;"",1,0),IF(J5&lt;&gt;"",1,0),IF(J8&lt;&gt;"",1,0),IF(J10&lt;&gt;"",1,0),IF(L3&lt;&gt;"",1,0),IF(L5&lt;&gt;"",1,0),IF(L8&lt;&gt;"",1,0),IF(L10&lt;&gt;"",1,0),IF(P3&lt;&gt;"",1,0),IF(P5&lt;&gt;"",1,0),IF(P8&lt;&gt;"",1,0),IF(P10&lt;&gt;"",1,0),IF(R3&lt;&gt;"",1,0),IF(R5&lt;&gt;"",1,0),IF(R8&lt;&gt;"",1,0),IF(R10&lt;&gt;"",1,0),IF(V3&lt;&gt;"",1,0),IF(V5&lt;&gt;"",1,0),IF(V8&lt;&gt;"",1,0),IF(V10&lt;&gt;"",1,0))</f>
        <v>0</v>
      </c>
      <c r="AD5" s="1" t="s">
        <v>40</v>
      </c>
    </row>
    <row r="6" spans="2:30" ht="15.75" thickBot="1" x14ac:dyDescent="0.3">
      <c r="E6" s="14" t="s">
        <v>36</v>
      </c>
      <c r="F6" s="15"/>
      <c r="G6" s="8"/>
      <c r="H6" s="16"/>
      <c r="I6" s="8"/>
      <c r="J6" s="15"/>
      <c r="K6" s="8"/>
      <c r="L6" s="15"/>
      <c r="M6" s="8"/>
      <c r="N6" s="16"/>
      <c r="O6" s="8"/>
      <c r="P6" s="15"/>
      <c r="Q6" s="8"/>
      <c r="R6" s="15"/>
      <c r="S6" s="8"/>
      <c r="T6" s="16"/>
      <c r="U6" s="8"/>
      <c r="V6" s="15"/>
      <c r="W6" s="8"/>
      <c r="X6" s="8"/>
      <c r="Y6" s="9"/>
      <c r="AC6" s="3">
        <f>SUM(IF(F4&lt;&gt;"",1,0),IF(F6&lt;&gt;"",1,0),IF(F9&lt;&gt;"",1,0),IF(F11&lt;&gt;"",1,0),IF(J4&lt;&gt;"",1,0),IF(J6&lt;&gt;"",1,0),IF(J9&lt;&gt;"",1,0),IF(J11&lt;&gt;"",1,0),IF(L4&lt;&gt;"",1,0),IF(L6&lt;&gt;"",1,0),IF(L9&lt;&gt;"",1,0),IF(L11&lt;&gt;"",1,0),IF(P4&lt;&gt;"",1,0),IF(P6&lt;&gt;"",1,0),IF(P9&lt;&gt;"",1,0),IF(P11&lt;&gt;"",1,0),IF(R4&lt;&gt;"",1,0),IF(R6&lt;&gt;"",1,0),IF(R9&lt;&gt;"",1,0),IF(R11&lt;&gt;"",1,0),IF(V4&lt;&gt;"",1,0),IF(V6&lt;&gt;"",1,0),IF(V9&lt;&gt;"",1,0),IF(V11&lt;&gt;"",1,0))</f>
        <v>0</v>
      </c>
      <c r="AD6" s="1" t="s">
        <v>41</v>
      </c>
    </row>
    <row r="7" spans="2:30" ht="15.75" thickBot="1" x14ac:dyDescent="0.3">
      <c r="E7" s="8"/>
      <c r="F7" s="8"/>
      <c r="G7" s="8"/>
      <c r="H7" s="16"/>
      <c r="I7" s="8"/>
      <c r="J7" s="8"/>
      <c r="K7" s="8"/>
      <c r="L7" s="8"/>
      <c r="M7" s="8"/>
      <c r="N7" s="16"/>
      <c r="O7" s="8"/>
      <c r="P7" s="8"/>
      <c r="Q7" s="8"/>
      <c r="R7" s="8"/>
      <c r="S7" s="8"/>
      <c r="T7" s="16"/>
      <c r="U7" s="8"/>
      <c r="V7" s="8"/>
      <c r="W7" s="8"/>
      <c r="X7" s="8"/>
      <c r="Y7" s="9"/>
      <c r="AC7" s="3">
        <v>24</v>
      </c>
      <c r="AD7" s="1" t="s">
        <v>26</v>
      </c>
    </row>
    <row r="8" spans="2:30" x14ac:dyDescent="0.25">
      <c r="B8" s="17" t="s">
        <v>27</v>
      </c>
      <c r="C8" s="5">
        <v>43768</v>
      </c>
      <c r="E8" s="10" t="s">
        <v>35</v>
      </c>
      <c r="F8" s="11"/>
      <c r="G8" s="12" t="s">
        <v>15</v>
      </c>
      <c r="H8" s="16"/>
      <c r="I8" s="12" t="s">
        <v>16</v>
      </c>
      <c r="J8" s="11"/>
      <c r="K8" s="8"/>
      <c r="L8" s="11"/>
      <c r="M8" s="12" t="s">
        <v>17</v>
      </c>
      <c r="N8" s="16"/>
      <c r="O8" s="12" t="s">
        <v>18</v>
      </c>
      <c r="P8" s="11"/>
      <c r="Q8" s="8"/>
      <c r="R8" s="11"/>
      <c r="S8" s="12" t="s">
        <v>19</v>
      </c>
      <c r="T8" s="16"/>
      <c r="U8" s="12" t="s">
        <v>20</v>
      </c>
      <c r="V8" s="11"/>
      <c r="W8" s="8"/>
      <c r="X8" s="8"/>
      <c r="Y8" s="9"/>
    </row>
    <row r="9" spans="2:30" ht="15.75" thickBot="1" x14ac:dyDescent="0.3">
      <c r="B9" s="17" t="s">
        <v>42</v>
      </c>
      <c r="C9" s="6">
        <f>AC7-AC5</f>
        <v>24</v>
      </c>
      <c r="E9" s="14" t="s">
        <v>36</v>
      </c>
      <c r="F9" s="15"/>
      <c r="G9" s="8"/>
      <c r="H9" s="16"/>
      <c r="I9" s="8"/>
      <c r="J9" s="15"/>
      <c r="K9" s="8"/>
      <c r="L9" s="15"/>
      <c r="M9" s="8"/>
      <c r="N9" s="16"/>
      <c r="O9" s="8"/>
      <c r="P9" s="15"/>
      <c r="Q9" s="8"/>
      <c r="R9" s="15"/>
      <c r="S9" s="8"/>
      <c r="T9" s="16"/>
      <c r="U9" s="8"/>
      <c r="V9" s="15"/>
      <c r="W9" s="8"/>
      <c r="X9" s="8"/>
      <c r="Y9" s="9"/>
    </row>
    <row r="10" spans="2:30" ht="15.75" thickBot="1" x14ac:dyDescent="0.3">
      <c r="B10" s="17" t="s">
        <v>43</v>
      </c>
      <c r="C10" s="6">
        <f>AC7-AC6</f>
        <v>24</v>
      </c>
      <c r="E10" s="10" t="s">
        <v>35</v>
      </c>
      <c r="F10" s="11"/>
      <c r="G10" s="12" t="s">
        <v>21</v>
      </c>
      <c r="H10" s="18"/>
      <c r="I10" s="12" t="s">
        <v>22</v>
      </c>
      <c r="J10" s="11"/>
      <c r="K10" s="8"/>
      <c r="L10" s="11"/>
      <c r="M10" s="12" t="s">
        <v>23</v>
      </c>
      <c r="N10" s="18"/>
      <c r="O10" s="12" t="s">
        <v>23</v>
      </c>
      <c r="P10" s="11"/>
      <c r="Q10" s="8"/>
      <c r="R10" s="11"/>
      <c r="S10" s="12" t="s">
        <v>24</v>
      </c>
      <c r="T10" s="18"/>
      <c r="U10" s="12" t="s">
        <v>25</v>
      </c>
      <c r="V10" s="11"/>
      <c r="W10" s="8"/>
      <c r="X10" s="8"/>
      <c r="Y10" s="9"/>
    </row>
    <row r="11" spans="2:30" ht="15.75" thickBot="1" x14ac:dyDescent="0.3">
      <c r="E11" s="14" t="s">
        <v>36</v>
      </c>
      <c r="F11" s="15"/>
      <c r="G11" s="19"/>
      <c r="H11" s="19"/>
      <c r="I11" s="19"/>
      <c r="J11" s="15"/>
      <c r="K11" s="20"/>
      <c r="L11" s="15"/>
      <c r="M11" s="19"/>
      <c r="N11" s="19"/>
      <c r="O11" s="19"/>
      <c r="P11" s="15"/>
      <c r="Q11" s="20"/>
      <c r="R11" s="15"/>
      <c r="S11" s="19"/>
      <c r="T11" s="19"/>
      <c r="U11" s="19"/>
      <c r="V11" s="15"/>
      <c r="W11" s="19"/>
      <c r="X11" s="19"/>
      <c r="Y11" s="21"/>
    </row>
    <row r="12" spans="2:30" ht="15.75" thickBot="1" x14ac:dyDescent="0.3">
      <c r="E12" s="8"/>
      <c r="F12" s="8"/>
      <c r="G12" s="8"/>
      <c r="H12" s="8"/>
      <c r="I12" s="8"/>
      <c r="J12" s="8"/>
      <c r="K12" s="8"/>
      <c r="L12" s="8"/>
      <c r="M12" s="8"/>
      <c r="N12" s="8"/>
      <c r="O12" s="8"/>
      <c r="P12" s="8"/>
      <c r="Q12" s="8"/>
      <c r="R12" s="8"/>
      <c r="S12" s="8"/>
      <c r="T12" s="8"/>
      <c r="U12" s="8"/>
      <c r="V12" s="8"/>
      <c r="W12" s="8"/>
      <c r="X12" s="8"/>
      <c r="Y12" s="8"/>
    </row>
    <row r="13" spans="2:30" ht="15.75" thickBot="1" x14ac:dyDescent="0.3">
      <c r="E13" s="22"/>
      <c r="F13" s="34" t="s">
        <v>1</v>
      </c>
      <c r="G13" s="35"/>
      <c r="H13" s="35"/>
      <c r="I13" s="35"/>
      <c r="J13" s="35"/>
      <c r="K13" s="35"/>
      <c r="L13" s="36"/>
      <c r="M13" s="23"/>
      <c r="N13" s="23"/>
      <c r="O13" s="23"/>
      <c r="P13" s="34" t="s">
        <v>8</v>
      </c>
      <c r="Q13" s="35"/>
      <c r="R13" s="35"/>
      <c r="S13" s="35"/>
      <c r="T13" s="35"/>
      <c r="U13" s="35"/>
      <c r="V13" s="35"/>
      <c r="W13" s="35"/>
      <c r="X13" s="35"/>
      <c r="Y13" s="36"/>
    </row>
    <row r="14" spans="2:30" ht="15.75" thickBot="1" x14ac:dyDescent="0.3">
      <c r="E14" s="24"/>
      <c r="F14" s="8"/>
      <c r="G14" s="8"/>
      <c r="H14" s="8"/>
      <c r="I14" s="8"/>
      <c r="J14" s="25" t="s">
        <v>28</v>
      </c>
      <c r="K14" s="26"/>
      <c r="L14" s="27" t="s">
        <v>29</v>
      </c>
      <c r="M14" s="8"/>
      <c r="N14" s="8"/>
      <c r="O14" s="8"/>
      <c r="P14" s="8"/>
      <c r="Q14" s="8"/>
      <c r="R14" s="8"/>
      <c r="S14" s="8"/>
      <c r="T14" s="8"/>
      <c r="U14" s="8"/>
      <c r="V14" s="8"/>
      <c r="W14" s="25" t="s">
        <v>28</v>
      </c>
      <c r="X14" s="26"/>
      <c r="Y14" s="27" t="s">
        <v>29</v>
      </c>
    </row>
    <row r="15" spans="2:30" x14ac:dyDescent="0.25">
      <c r="E15" s="24"/>
      <c r="F15" s="8"/>
      <c r="G15" s="8"/>
      <c r="H15" s="8"/>
      <c r="I15" s="8"/>
      <c r="J15" s="10" t="s">
        <v>30</v>
      </c>
      <c r="K15" s="8"/>
      <c r="L15" s="11"/>
      <c r="M15" s="8"/>
      <c r="N15" s="8"/>
      <c r="O15" s="8"/>
      <c r="P15" s="8"/>
      <c r="Q15" s="8"/>
      <c r="R15" s="8"/>
      <c r="S15" s="8"/>
      <c r="T15" s="37"/>
      <c r="U15" s="8"/>
      <c r="V15" s="8"/>
      <c r="W15" s="10" t="s">
        <v>30</v>
      </c>
      <c r="X15" s="8"/>
      <c r="Y15" s="11"/>
    </row>
    <row r="16" spans="2:30" ht="15.75" thickBot="1" x14ac:dyDescent="0.3">
      <c r="E16" s="24"/>
      <c r="F16" s="8"/>
      <c r="G16" s="8"/>
      <c r="H16" s="28">
        <v>2</v>
      </c>
      <c r="I16" s="8"/>
      <c r="J16" s="14" t="s">
        <v>31</v>
      </c>
      <c r="K16" s="8"/>
      <c r="L16" s="29"/>
      <c r="M16" s="8"/>
      <c r="N16" s="8"/>
      <c r="O16" s="8"/>
      <c r="P16" s="8"/>
      <c r="Q16" s="8"/>
      <c r="R16" s="8"/>
      <c r="S16" s="28">
        <v>1</v>
      </c>
      <c r="T16" s="38"/>
      <c r="U16" s="28">
        <v>4</v>
      </c>
      <c r="V16" s="8"/>
      <c r="W16" s="14" t="s">
        <v>31</v>
      </c>
      <c r="X16" s="8"/>
      <c r="Y16" s="29"/>
    </row>
    <row r="17" spans="5:25" x14ac:dyDescent="0.25">
      <c r="E17" s="24"/>
      <c r="F17" s="8"/>
      <c r="G17" s="8"/>
      <c r="H17" s="37"/>
      <c r="I17" s="8"/>
      <c r="J17" s="10" t="s">
        <v>32</v>
      </c>
      <c r="K17" s="8"/>
      <c r="L17" s="30"/>
      <c r="M17" s="8"/>
      <c r="N17" s="8"/>
      <c r="O17" s="8"/>
      <c r="P17" s="8"/>
      <c r="Q17" s="8"/>
      <c r="R17" s="8"/>
      <c r="S17" s="8"/>
      <c r="T17" s="38"/>
      <c r="U17" s="8"/>
      <c r="V17" s="8"/>
      <c r="W17" s="10" t="s">
        <v>32</v>
      </c>
      <c r="X17" s="8"/>
      <c r="Y17" s="30"/>
    </row>
    <row r="18" spans="5:25" ht="15.75" thickBot="1" x14ac:dyDescent="0.3">
      <c r="E18" s="24"/>
      <c r="F18" s="8"/>
      <c r="G18" s="28">
        <v>1</v>
      </c>
      <c r="H18" s="38"/>
      <c r="I18" s="28">
        <v>3</v>
      </c>
      <c r="J18" s="14" t="s">
        <v>33</v>
      </c>
      <c r="K18" s="8"/>
      <c r="L18" s="29"/>
      <c r="M18" s="8"/>
      <c r="N18" s="8"/>
      <c r="O18" s="8"/>
      <c r="P18" s="8"/>
      <c r="Q18" s="8"/>
      <c r="R18" s="8"/>
      <c r="S18" s="28">
        <v>2</v>
      </c>
      <c r="T18" s="38"/>
      <c r="U18" s="28">
        <v>5</v>
      </c>
      <c r="V18" s="8"/>
      <c r="W18" s="14" t="s">
        <v>33</v>
      </c>
      <c r="X18" s="8"/>
      <c r="Y18" s="29"/>
    </row>
    <row r="19" spans="5:25" ht="15.75" thickBot="1" x14ac:dyDescent="0.3">
      <c r="E19" s="24"/>
      <c r="F19" s="8"/>
      <c r="G19" s="8"/>
      <c r="H19" s="39"/>
      <c r="I19" s="8"/>
      <c r="J19" s="8"/>
      <c r="K19" s="8"/>
      <c r="L19" s="8"/>
      <c r="M19" s="8"/>
      <c r="N19" s="8"/>
      <c r="O19" s="8"/>
      <c r="P19" s="8"/>
      <c r="Q19" s="8"/>
      <c r="R19" s="8"/>
      <c r="S19" s="8"/>
      <c r="T19" s="38"/>
      <c r="U19" s="8"/>
      <c r="V19" s="8"/>
      <c r="W19" s="8"/>
      <c r="X19" s="8"/>
      <c r="Y19" s="31"/>
    </row>
    <row r="20" spans="5:25" x14ac:dyDescent="0.25">
      <c r="E20" s="24"/>
      <c r="F20" s="8"/>
      <c r="G20" s="8"/>
      <c r="H20" s="32"/>
      <c r="I20" s="8"/>
      <c r="J20" s="8"/>
      <c r="K20" s="8"/>
      <c r="L20" s="8"/>
      <c r="M20" s="8"/>
      <c r="N20" s="8"/>
      <c r="O20" s="8"/>
      <c r="P20" s="8"/>
      <c r="Q20" s="8"/>
      <c r="R20" s="8"/>
      <c r="S20" s="28">
        <v>3</v>
      </c>
      <c r="T20" s="38"/>
      <c r="U20" s="28">
        <v>6</v>
      </c>
      <c r="V20" s="8"/>
      <c r="W20" s="8"/>
      <c r="X20" s="8"/>
      <c r="Y20" s="9"/>
    </row>
    <row r="21" spans="5:25" ht="15.75" thickBot="1" x14ac:dyDescent="0.3">
      <c r="E21" s="24"/>
      <c r="F21" s="8"/>
      <c r="G21" s="8"/>
      <c r="H21" s="8"/>
      <c r="I21" s="8"/>
      <c r="J21" s="8"/>
      <c r="K21" s="8"/>
      <c r="L21" s="8"/>
      <c r="M21" s="8"/>
      <c r="N21" s="8"/>
      <c r="O21" s="8"/>
      <c r="P21" s="8"/>
      <c r="Q21" s="8"/>
      <c r="R21" s="8"/>
      <c r="S21" s="8"/>
      <c r="T21" s="39"/>
      <c r="U21" s="8"/>
      <c r="V21" s="8"/>
      <c r="W21" s="8"/>
      <c r="X21" s="8"/>
      <c r="Y21" s="9"/>
    </row>
    <row r="22" spans="5:25" ht="15.75" thickBot="1" x14ac:dyDescent="0.3">
      <c r="E22" s="33"/>
      <c r="F22" s="19"/>
      <c r="G22" s="19"/>
      <c r="H22" s="19"/>
      <c r="I22" s="19"/>
      <c r="J22" s="19"/>
      <c r="K22" s="19"/>
      <c r="L22" s="19"/>
      <c r="M22" s="19"/>
      <c r="N22" s="19"/>
      <c r="O22" s="19"/>
      <c r="P22" s="19"/>
      <c r="Q22" s="19"/>
      <c r="R22" s="19"/>
      <c r="S22" s="19"/>
      <c r="T22" s="19"/>
      <c r="U22" s="19"/>
      <c r="V22" s="19"/>
      <c r="W22" s="19"/>
      <c r="X22" s="19"/>
      <c r="Y22" s="21"/>
    </row>
    <row r="23" spans="5:25" x14ac:dyDescent="0.25">
      <c r="F23" s="4"/>
      <c r="J23" s="4"/>
      <c r="K23" s="4"/>
      <c r="L23" s="4"/>
      <c r="P23" s="4"/>
      <c r="Q23" s="4"/>
      <c r="R23" s="4"/>
      <c r="V23" s="4"/>
    </row>
  </sheetData>
  <mergeCells count="5">
    <mergeCell ref="E1:Y1"/>
    <mergeCell ref="F13:L13"/>
    <mergeCell ref="P13:Y13"/>
    <mergeCell ref="T15:T21"/>
    <mergeCell ref="H17:H19"/>
  </mergeCells>
  <conditionalFormatting sqref="G3 G5 G8 G10 M3 M5 M8 M10 S3 S5 S8 S10">
    <cfRule type="expression" dxfId="17" priority="4">
      <formula>IF(OR(AND(F3&lt;&gt;"",F4=""),AND(F3="",F4&lt;&gt;"")),1)</formula>
    </cfRule>
    <cfRule type="expression" dxfId="16" priority="6">
      <formula>IF(AND(F3&lt;&gt;"",F4&lt;&gt;""),1)</formula>
    </cfRule>
  </conditionalFormatting>
  <conditionalFormatting sqref="O3 O5 O8 O10 U3 U5 U8 U10 I3 I5 I8 I10">
    <cfRule type="expression" dxfId="15" priority="3">
      <formula>IF(OR(AND(J3&lt;&gt;"",J4=""),AND(J3="",J4&lt;&gt;"")),1)</formula>
    </cfRule>
  </conditionalFormatting>
  <conditionalFormatting sqref="O3 O5 O8 O10 U3 U5 U8 U10 I3 I5 I8 I10">
    <cfRule type="expression" dxfId="14" priority="5">
      <formula>IF(AND(J3&lt;&gt;"",J4&lt;&gt;""),1)</formula>
    </cfRule>
  </conditionalFormatting>
  <conditionalFormatting sqref="J15:J18 W15:W18">
    <cfRule type="expression" dxfId="13" priority="2">
      <formula>IF(L15&lt;&gt;"",1)</formula>
    </cfRule>
  </conditionalFormatting>
  <conditionalFormatting sqref="J15:J18 W15:W18">
    <cfRule type="expression" dxfId="12" priority="1">
      <formula>IF(L15="",1)</formula>
    </cfRule>
  </conditionalFormatting>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Novodia">
                <anchor moveWithCells="1" sizeWithCells="1">
                  <from>
                    <xdr:col>0</xdr:col>
                    <xdr:colOff>76200</xdr:colOff>
                    <xdr:row>7</xdr:row>
                    <xdr:rowOff>57150</xdr:rowOff>
                  </from>
                  <to>
                    <xdr:col>0</xdr:col>
                    <xdr:colOff>704850</xdr:colOff>
                    <xdr:row>9</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1FBD7-D875-406D-868D-3CA80A9E8866}">
  <sheetPr codeName="Planilha5"/>
  <dimension ref="B1:AE23"/>
  <sheetViews>
    <sheetView showGridLines="0" showRowColHeaders="0" workbookViewId="0">
      <selection activeCell="E1" sqref="E1:Y1"/>
    </sheetView>
  </sheetViews>
  <sheetFormatPr defaultRowHeight="15" outlineLevelCol="1" x14ac:dyDescent="0.25"/>
  <cols>
    <col min="1" max="1" width="11.140625" style="1" customWidth="1"/>
    <col min="2" max="2" width="21.85546875" style="1" bestFit="1" customWidth="1"/>
    <col min="3" max="3" width="11.7109375" style="1" customWidth="1"/>
    <col min="4" max="4" width="7.85546875" style="1" customWidth="1"/>
    <col min="5" max="5" width="15.5703125" style="1" bestFit="1" customWidth="1"/>
    <col min="6" max="6" width="6.7109375" style="1" bestFit="1" customWidth="1"/>
    <col min="7" max="7" width="3" style="1" customWidth="1"/>
    <col min="8" max="8" width="9.7109375" style="1" customWidth="1"/>
    <col min="9" max="9" width="6.7109375" style="1" bestFit="1" customWidth="1"/>
    <col min="10" max="10" width="8.42578125" style="1" bestFit="1" customWidth="1"/>
    <col min="11" max="11" width="1.140625" style="1" customWidth="1"/>
    <col min="12" max="12" width="7.140625" style="1" bestFit="1" customWidth="1"/>
    <col min="13" max="13" width="3.140625" style="1" customWidth="1"/>
    <col min="14" max="16" width="6.7109375" style="1" bestFit="1" customWidth="1"/>
    <col min="17" max="17" width="1.140625" style="1" customWidth="1"/>
    <col min="18" max="19" width="6.7109375" style="1" bestFit="1" customWidth="1"/>
    <col min="20" max="20" width="9.7109375" style="1" customWidth="1"/>
    <col min="21" max="21" width="3.140625" style="1" customWidth="1"/>
    <col min="22" max="22" width="6.7109375" style="1" bestFit="1" customWidth="1"/>
    <col min="23" max="23" width="8.85546875" style="1" bestFit="1" customWidth="1"/>
    <col min="24" max="24" width="1.140625" style="1" customWidth="1"/>
    <col min="25" max="25" width="8.85546875" style="1" customWidth="1"/>
    <col min="26" max="26" width="3" style="1" customWidth="1"/>
    <col min="27" max="27" width="5.7109375" style="1" bestFit="1" customWidth="1"/>
    <col min="28" max="28" width="34.5703125" style="1" customWidth="1"/>
    <col min="29" max="29" width="3" style="3" hidden="1" customWidth="1" outlineLevel="1"/>
    <col min="30" max="30" width="29.7109375" style="1" hidden="1" customWidth="1" outlineLevel="1"/>
    <col min="31" max="31" width="9.140625" style="1" collapsed="1"/>
    <col min="32" max="16384" width="9.140625" style="1"/>
  </cols>
  <sheetData>
    <row r="1" spans="2:30" ht="15.75" thickBot="1" x14ac:dyDescent="0.3">
      <c r="E1" s="34" t="s">
        <v>0</v>
      </c>
      <c r="F1" s="35"/>
      <c r="G1" s="35"/>
      <c r="H1" s="35"/>
      <c r="I1" s="35"/>
      <c r="J1" s="35"/>
      <c r="K1" s="35"/>
      <c r="L1" s="35"/>
      <c r="M1" s="35"/>
      <c r="N1" s="35"/>
      <c r="O1" s="35"/>
      <c r="P1" s="35"/>
      <c r="Q1" s="35"/>
      <c r="R1" s="35"/>
      <c r="S1" s="35"/>
      <c r="T1" s="35"/>
      <c r="U1" s="35"/>
      <c r="V1" s="35"/>
      <c r="W1" s="35"/>
      <c r="X1" s="35"/>
      <c r="Y1" s="36"/>
      <c r="Z1" s="2"/>
      <c r="AA1" s="2"/>
      <c r="AC1" s="3">
        <f>IF(AND(L3&lt;&gt;"",L5&lt;&gt;"",L8&lt;&gt;"",L10&lt;&gt;"",P3&lt;&gt;"",P5&lt;&gt;"",P8&lt;&gt;"",P10&lt;&gt;"",F3&lt;&gt;"",F5&lt;&gt;"",F8&lt;&gt;"",F10&lt;&gt;"",J3&lt;&gt;"",J5&lt;&gt;"",J8&lt;&gt;"",J10&lt;&gt;"",R3&lt;&gt;"",R5&lt;&gt;"",R8&lt;&gt;"",R10&lt;&gt;"",V3&lt;&gt;"",V5&lt;&gt;"",V8&lt;&gt;"",V10&lt;&gt;""),1,0)</f>
        <v>0</v>
      </c>
      <c r="AD1" s="1" t="s">
        <v>37</v>
      </c>
    </row>
    <row r="2" spans="2:30" ht="15.75" thickBot="1" x14ac:dyDescent="0.3">
      <c r="E2" s="7" t="s">
        <v>34</v>
      </c>
      <c r="F2" s="8"/>
      <c r="G2" s="8"/>
      <c r="H2" s="8"/>
      <c r="I2" s="8"/>
      <c r="J2" s="8"/>
      <c r="K2" s="8"/>
      <c r="L2" s="8"/>
      <c r="M2" s="8"/>
      <c r="N2" s="8"/>
      <c r="O2" s="8"/>
      <c r="P2" s="8"/>
      <c r="Q2" s="8"/>
      <c r="R2" s="8"/>
      <c r="S2" s="8"/>
      <c r="T2" s="8"/>
      <c r="U2" s="8"/>
      <c r="V2" s="8"/>
      <c r="W2" s="8"/>
      <c r="X2" s="8"/>
      <c r="Y2" s="9"/>
      <c r="AC2" s="3">
        <f>IF(AND(L4&lt;&gt;"",L6&lt;&gt;"",L9&lt;&gt;"",L11&lt;&gt;"",P4&lt;&gt;"",P6&lt;&gt;"",P9&lt;&gt;"",P11&lt;&gt;"",F4&lt;&gt;"",F6&lt;&gt;"",F9&lt;&gt;"",F11&lt;&gt;"",J4&lt;&gt;"",J6&lt;&gt;"",J9&lt;&gt;"",J11&lt;&gt;"",R4&lt;&gt;"",R6&lt;&gt;"",R9&lt;&gt;"",R11&lt;&gt;"",V4&lt;&gt;"",V6&lt;&gt;"",V9&lt;&gt;"",V11&lt;&gt;""),1,0)</f>
        <v>0</v>
      </c>
      <c r="AD2" s="1" t="s">
        <v>38</v>
      </c>
    </row>
    <row r="3" spans="2:30" x14ac:dyDescent="0.25">
      <c r="E3" s="10" t="s">
        <v>35</v>
      </c>
      <c r="F3" s="11"/>
      <c r="G3" s="12" t="s">
        <v>2</v>
      </c>
      <c r="H3" s="13"/>
      <c r="I3" s="12" t="s">
        <v>3</v>
      </c>
      <c r="J3" s="11"/>
      <c r="K3" s="8"/>
      <c r="L3" s="11"/>
      <c r="M3" s="12" t="s">
        <v>4</v>
      </c>
      <c r="N3" s="13"/>
      <c r="O3" s="12" t="s">
        <v>5</v>
      </c>
      <c r="P3" s="11"/>
      <c r="Q3" s="8"/>
      <c r="R3" s="11"/>
      <c r="S3" s="12" t="s">
        <v>6</v>
      </c>
      <c r="T3" s="13"/>
      <c r="U3" s="12" t="s">
        <v>7</v>
      </c>
      <c r="V3" s="11"/>
      <c r="W3" s="8"/>
      <c r="X3" s="8"/>
      <c r="Y3" s="9"/>
      <c r="AC3" s="3">
        <f>SUM(AC1:AC2)</f>
        <v>0</v>
      </c>
      <c r="AD3" s="1" t="s">
        <v>39</v>
      </c>
    </row>
    <row r="4" spans="2:30" ht="15.75" thickBot="1" x14ac:dyDescent="0.3">
      <c r="E4" s="14" t="s">
        <v>36</v>
      </c>
      <c r="F4" s="15"/>
      <c r="G4" s="8"/>
      <c r="H4" s="16"/>
      <c r="I4" s="8"/>
      <c r="J4" s="15"/>
      <c r="K4" s="8"/>
      <c r="L4" s="15"/>
      <c r="M4" s="8"/>
      <c r="N4" s="16"/>
      <c r="O4" s="8"/>
      <c r="P4" s="15"/>
      <c r="Q4" s="8"/>
      <c r="R4" s="15"/>
      <c r="S4" s="8"/>
      <c r="T4" s="16"/>
      <c r="U4" s="8"/>
      <c r="V4" s="15"/>
      <c r="W4" s="8"/>
      <c r="X4" s="8"/>
      <c r="Y4" s="9"/>
    </row>
    <row r="5" spans="2:30" x14ac:dyDescent="0.25">
      <c r="E5" s="10" t="s">
        <v>35</v>
      </c>
      <c r="F5" s="11"/>
      <c r="G5" s="12" t="s">
        <v>9</v>
      </c>
      <c r="H5" s="16"/>
      <c r="I5" s="12" t="s">
        <v>10</v>
      </c>
      <c r="J5" s="11"/>
      <c r="K5" s="8"/>
      <c r="L5" s="11"/>
      <c r="M5" s="12" t="s">
        <v>11</v>
      </c>
      <c r="N5" s="16"/>
      <c r="O5" s="12" t="s">
        <v>12</v>
      </c>
      <c r="P5" s="11"/>
      <c r="Q5" s="8"/>
      <c r="R5" s="11"/>
      <c r="S5" s="12" t="s">
        <v>13</v>
      </c>
      <c r="T5" s="16"/>
      <c r="U5" s="12" t="s">
        <v>14</v>
      </c>
      <c r="V5" s="11"/>
      <c r="W5" s="8"/>
      <c r="X5" s="8"/>
      <c r="Y5" s="9"/>
      <c r="AC5" s="3">
        <f>SUM(IF(F3&lt;&gt;"",1,0),IF(F5&lt;&gt;"",1,0),IF(F8&lt;&gt;"",1,0),IF(F10&lt;&gt;"",1,0),IF(J3&lt;&gt;"",1,0),IF(J5&lt;&gt;"",1,0),IF(J8&lt;&gt;"",1,0),IF(J10&lt;&gt;"",1,0),IF(L3&lt;&gt;"",1,0),IF(L5&lt;&gt;"",1,0),IF(L8&lt;&gt;"",1,0),IF(L10&lt;&gt;"",1,0),IF(P3&lt;&gt;"",1,0),IF(P5&lt;&gt;"",1,0),IF(P8&lt;&gt;"",1,0),IF(P10&lt;&gt;"",1,0),IF(R3&lt;&gt;"",1,0),IF(R5&lt;&gt;"",1,0),IF(R8&lt;&gt;"",1,0),IF(R10&lt;&gt;"",1,0),IF(V3&lt;&gt;"",1,0),IF(V5&lt;&gt;"",1,0),IF(V8&lt;&gt;"",1,0),IF(V10&lt;&gt;"",1,0))</f>
        <v>0</v>
      </c>
      <c r="AD5" s="1" t="s">
        <v>40</v>
      </c>
    </row>
    <row r="6" spans="2:30" ht="15.75" thickBot="1" x14ac:dyDescent="0.3">
      <c r="E6" s="14" t="s">
        <v>36</v>
      </c>
      <c r="F6" s="15"/>
      <c r="G6" s="8"/>
      <c r="H6" s="16"/>
      <c r="I6" s="8"/>
      <c r="J6" s="15"/>
      <c r="K6" s="8"/>
      <c r="L6" s="15"/>
      <c r="M6" s="8"/>
      <c r="N6" s="16"/>
      <c r="O6" s="8"/>
      <c r="P6" s="15"/>
      <c r="Q6" s="8"/>
      <c r="R6" s="15"/>
      <c r="S6" s="8"/>
      <c r="T6" s="16"/>
      <c r="U6" s="8"/>
      <c r="V6" s="15"/>
      <c r="W6" s="8"/>
      <c r="X6" s="8"/>
      <c r="Y6" s="9"/>
      <c r="AC6" s="3">
        <f>SUM(IF(F4&lt;&gt;"",1,0),IF(F6&lt;&gt;"",1,0),IF(F9&lt;&gt;"",1,0),IF(F11&lt;&gt;"",1,0),IF(J4&lt;&gt;"",1,0),IF(J6&lt;&gt;"",1,0),IF(J9&lt;&gt;"",1,0),IF(J11&lt;&gt;"",1,0),IF(L4&lt;&gt;"",1,0),IF(L6&lt;&gt;"",1,0),IF(L9&lt;&gt;"",1,0),IF(L11&lt;&gt;"",1,0),IF(P4&lt;&gt;"",1,0),IF(P6&lt;&gt;"",1,0),IF(P9&lt;&gt;"",1,0),IF(P11&lt;&gt;"",1,0),IF(R4&lt;&gt;"",1,0),IF(R6&lt;&gt;"",1,0),IF(R9&lt;&gt;"",1,0),IF(R11&lt;&gt;"",1,0),IF(V4&lt;&gt;"",1,0),IF(V6&lt;&gt;"",1,0),IF(V9&lt;&gt;"",1,0),IF(V11&lt;&gt;"",1,0))</f>
        <v>0</v>
      </c>
      <c r="AD6" s="1" t="s">
        <v>41</v>
      </c>
    </row>
    <row r="7" spans="2:30" ht="15.75" thickBot="1" x14ac:dyDescent="0.3">
      <c r="E7" s="8"/>
      <c r="F7" s="8"/>
      <c r="G7" s="8"/>
      <c r="H7" s="16"/>
      <c r="I7" s="8"/>
      <c r="J7" s="8"/>
      <c r="K7" s="8"/>
      <c r="L7" s="8"/>
      <c r="M7" s="8"/>
      <c r="N7" s="16"/>
      <c r="O7" s="8"/>
      <c r="P7" s="8"/>
      <c r="Q7" s="8"/>
      <c r="R7" s="8"/>
      <c r="S7" s="8"/>
      <c r="T7" s="16"/>
      <c r="U7" s="8"/>
      <c r="V7" s="8"/>
      <c r="W7" s="8"/>
      <c r="X7" s="8"/>
      <c r="Y7" s="9"/>
      <c r="AC7" s="3">
        <v>24</v>
      </c>
      <c r="AD7" s="1" t="s">
        <v>26</v>
      </c>
    </row>
    <row r="8" spans="2:30" x14ac:dyDescent="0.25">
      <c r="B8" s="17" t="s">
        <v>27</v>
      </c>
      <c r="C8" s="5">
        <v>43489</v>
      </c>
      <c r="E8" s="10" t="s">
        <v>35</v>
      </c>
      <c r="F8" s="11"/>
      <c r="G8" s="12" t="s">
        <v>15</v>
      </c>
      <c r="H8" s="16"/>
      <c r="I8" s="12" t="s">
        <v>16</v>
      </c>
      <c r="J8" s="11"/>
      <c r="K8" s="8"/>
      <c r="L8" s="11"/>
      <c r="M8" s="12" t="s">
        <v>17</v>
      </c>
      <c r="N8" s="16"/>
      <c r="O8" s="12" t="s">
        <v>18</v>
      </c>
      <c r="P8" s="11"/>
      <c r="Q8" s="8"/>
      <c r="R8" s="11"/>
      <c r="S8" s="12" t="s">
        <v>19</v>
      </c>
      <c r="T8" s="16"/>
      <c r="U8" s="12" t="s">
        <v>20</v>
      </c>
      <c r="V8" s="11"/>
      <c r="W8" s="8"/>
      <c r="X8" s="8"/>
      <c r="Y8" s="9"/>
    </row>
    <row r="9" spans="2:30" ht="15.75" thickBot="1" x14ac:dyDescent="0.3">
      <c r="B9" s="17" t="s">
        <v>42</v>
      </c>
      <c r="C9" s="6">
        <f>AC7-AC5</f>
        <v>24</v>
      </c>
      <c r="E9" s="14" t="s">
        <v>36</v>
      </c>
      <c r="F9" s="15"/>
      <c r="G9" s="8"/>
      <c r="H9" s="16"/>
      <c r="I9" s="8"/>
      <c r="J9" s="15"/>
      <c r="K9" s="8"/>
      <c r="L9" s="15"/>
      <c r="M9" s="8"/>
      <c r="N9" s="16"/>
      <c r="O9" s="8"/>
      <c r="P9" s="15"/>
      <c r="Q9" s="8"/>
      <c r="R9" s="15"/>
      <c r="S9" s="8"/>
      <c r="T9" s="16"/>
      <c r="U9" s="8"/>
      <c r="V9" s="15"/>
      <c r="W9" s="8"/>
      <c r="X9" s="8"/>
      <c r="Y9" s="9"/>
    </row>
    <row r="10" spans="2:30" ht="15.75" thickBot="1" x14ac:dyDescent="0.3">
      <c r="B10" s="17" t="s">
        <v>43</v>
      </c>
      <c r="C10" s="6">
        <f>AC7-AC6</f>
        <v>24</v>
      </c>
      <c r="E10" s="10" t="s">
        <v>35</v>
      </c>
      <c r="F10" s="11"/>
      <c r="G10" s="12" t="s">
        <v>21</v>
      </c>
      <c r="H10" s="18"/>
      <c r="I10" s="12" t="s">
        <v>22</v>
      </c>
      <c r="J10" s="11"/>
      <c r="K10" s="8"/>
      <c r="L10" s="11"/>
      <c r="M10" s="12" t="s">
        <v>23</v>
      </c>
      <c r="N10" s="18"/>
      <c r="O10" s="12" t="s">
        <v>23</v>
      </c>
      <c r="P10" s="11"/>
      <c r="Q10" s="8"/>
      <c r="R10" s="11"/>
      <c r="S10" s="12" t="s">
        <v>24</v>
      </c>
      <c r="T10" s="18"/>
      <c r="U10" s="12" t="s">
        <v>25</v>
      </c>
      <c r="V10" s="11"/>
      <c r="W10" s="8"/>
      <c r="X10" s="8"/>
      <c r="Y10" s="9"/>
    </row>
    <row r="11" spans="2:30" ht="15.75" thickBot="1" x14ac:dyDescent="0.3">
      <c r="E11" s="14" t="s">
        <v>36</v>
      </c>
      <c r="F11" s="15"/>
      <c r="G11" s="19"/>
      <c r="H11" s="19"/>
      <c r="I11" s="19"/>
      <c r="J11" s="15"/>
      <c r="K11" s="20"/>
      <c r="L11" s="15"/>
      <c r="M11" s="19"/>
      <c r="N11" s="19"/>
      <c r="O11" s="19"/>
      <c r="P11" s="15"/>
      <c r="Q11" s="20"/>
      <c r="R11" s="15"/>
      <c r="S11" s="19"/>
      <c r="T11" s="19"/>
      <c r="U11" s="19"/>
      <c r="V11" s="15"/>
      <c r="W11" s="19"/>
      <c r="X11" s="19"/>
      <c r="Y11" s="21"/>
    </row>
    <row r="12" spans="2:30" ht="15.75" thickBot="1" x14ac:dyDescent="0.3">
      <c r="E12" s="8"/>
      <c r="F12" s="8"/>
      <c r="G12" s="8"/>
      <c r="H12" s="8"/>
      <c r="I12" s="8"/>
      <c r="J12" s="8"/>
      <c r="K12" s="8"/>
      <c r="L12" s="8"/>
      <c r="M12" s="8"/>
      <c r="N12" s="8"/>
      <c r="O12" s="8"/>
      <c r="P12" s="8"/>
      <c r="Q12" s="8"/>
      <c r="R12" s="8"/>
      <c r="S12" s="8"/>
      <c r="T12" s="8"/>
      <c r="U12" s="8"/>
      <c r="V12" s="8"/>
      <c r="W12" s="8"/>
      <c r="X12" s="8"/>
      <c r="Y12" s="8"/>
    </row>
    <row r="13" spans="2:30" ht="15.75" thickBot="1" x14ac:dyDescent="0.3">
      <c r="E13" s="22"/>
      <c r="F13" s="34" t="s">
        <v>1</v>
      </c>
      <c r="G13" s="35"/>
      <c r="H13" s="35"/>
      <c r="I13" s="35"/>
      <c r="J13" s="35"/>
      <c r="K13" s="35"/>
      <c r="L13" s="36"/>
      <c r="M13" s="23"/>
      <c r="N13" s="23"/>
      <c r="O13" s="23"/>
      <c r="P13" s="34" t="s">
        <v>8</v>
      </c>
      <c r="Q13" s="35"/>
      <c r="R13" s="35"/>
      <c r="S13" s="35"/>
      <c r="T13" s="35"/>
      <c r="U13" s="35"/>
      <c r="V13" s="35"/>
      <c r="W13" s="35"/>
      <c r="X13" s="35"/>
      <c r="Y13" s="36"/>
    </row>
    <row r="14" spans="2:30" ht="15.75" thickBot="1" x14ac:dyDescent="0.3">
      <c r="E14" s="24"/>
      <c r="F14" s="8"/>
      <c r="G14" s="8"/>
      <c r="H14" s="8"/>
      <c r="I14" s="8"/>
      <c r="J14" s="25" t="s">
        <v>28</v>
      </c>
      <c r="K14" s="26"/>
      <c r="L14" s="27" t="s">
        <v>29</v>
      </c>
      <c r="M14" s="8"/>
      <c r="N14" s="8"/>
      <c r="O14" s="8"/>
      <c r="P14" s="8"/>
      <c r="Q14" s="8"/>
      <c r="R14" s="8"/>
      <c r="S14" s="8"/>
      <c r="T14" s="8"/>
      <c r="U14" s="8"/>
      <c r="V14" s="8"/>
      <c r="W14" s="25" t="s">
        <v>28</v>
      </c>
      <c r="X14" s="26"/>
      <c r="Y14" s="27" t="s">
        <v>29</v>
      </c>
    </row>
    <row r="15" spans="2:30" x14ac:dyDescent="0.25">
      <c r="E15" s="24"/>
      <c r="F15" s="8"/>
      <c r="G15" s="8"/>
      <c r="H15" s="8"/>
      <c r="I15" s="8"/>
      <c r="J15" s="10" t="s">
        <v>30</v>
      </c>
      <c r="K15" s="8"/>
      <c r="L15" s="11"/>
      <c r="M15" s="8"/>
      <c r="N15" s="8"/>
      <c r="O15" s="8"/>
      <c r="P15" s="8"/>
      <c r="Q15" s="8"/>
      <c r="R15" s="8"/>
      <c r="S15" s="8"/>
      <c r="T15" s="37"/>
      <c r="U15" s="8"/>
      <c r="V15" s="8"/>
      <c r="W15" s="10" t="s">
        <v>30</v>
      </c>
      <c r="X15" s="8"/>
      <c r="Y15" s="11"/>
    </row>
    <row r="16" spans="2:30" ht="15.75" thickBot="1" x14ac:dyDescent="0.3">
      <c r="E16" s="24"/>
      <c r="F16" s="8"/>
      <c r="G16" s="8"/>
      <c r="H16" s="28">
        <v>2</v>
      </c>
      <c r="I16" s="8"/>
      <c r="J16" s="14" t="s">
        <v>31</v>
      </c>
      <c r="K16" s="8"/>
      <c r="L16" s="29"/>
      <c r="M16" s="8"/>
      <c r="N16" s="8"/>
      <c r="O16" s="8"/>
      <c r="P16" s="8"/>
      <c r="Q16" s="8"/>
      <c r="R16" s="8"/>
      <c r="S16" s="28">
        <v>1</v>
      </c>
      <c r="T16" s="38"/>
      <c r="U16" s="28">
        <v>4</v>
      </c>
      <c r="V16" s="8"/>
      <c r="W16" s="14" t="s">
        <v>31</v>
      </c>
      <c r="X16" s="8"/>
      <c r="Y16" s="29"/>
    </row>
    <row r="17" spans="5:25" x14ac:dyDescent="0.25">
      <c r="E17" s="24"/>
      <c r="F17" s="8"/>
      <c r="G17" s="8"/>
      <c r="H17" s="37"/>
      <c r="I17" s="8"/>
      <c r="J17" s="10" t="s">
        <v>32</v>
      </c>
      <c r="K17" s="8"/>
      <c r="L17" s="30"/>
      <c r="M17" s="8"/>
      <c r="N17" s="8"/>
      <c r="O17" s="8"/>
      <c r="P17" s="8"/>
      <c r="Q17" s="8"/>
      <c r="R17" s="8"/>
      <c r="S17" s="8"/>
      <c r="T17" s="38"/>
      <c r="U17" s="8"/>
      <c r="V17" s="8"/>
      <c r="W17" s="10" t="s">
        <v>32</v>
      </c>
      <c r="X17" s="8"/>
      <c r="Y17" s="30"/>
    </row>
    <row r="18" spans="5:25" ht="15.75" thickBot="1" x14ac:dyDescent="0.3">
      <c r="E18" s="24"/>
      <c r="F18" s="8"/>
      <c r="G18" s="28">
        <v>1</v>
      </c>
      <c r="H18" s="38"/>
      <c r="I18" s="28">
        <v>3</v>
      </c>
      <c r="J18" s="14" t="s">
        <v>33</v>
      </c>
      <c r="K18" s="8"/>
      <c r="L18" s="29"/>
      <c r="M18" s="8"/>
      <c r="N18" s="8"/>
      <c r="O18" s="8"/>
      <c r="P18" s="8"/>
      <c r="Q18" s="8"/>
      <c r="R18" s="8"/>
      <c r="S18" s="28">
        <v>2</v>
      </c>
      <c r="T18" s="38"/>
      <c r="U18" s="28">
        <v>5</v>
      </c>
      <c r="V18" s="8"/>
      <c r="W18" s="14" t="s">
        <v>33</v>
      </c>
      <c r="X18" s="8"/>
      <c r="Y18" s="29"/>
    </row>
    <row r="19" spans="5:25" ht="15.75" thickBot="1" x14ac:dyDescent="0.3">
      <c r="E19" s="24"/>
      <c r="F19" s="8"/>
      <c r="G19" s="8"/>
      <c r="H19" s="39"/>
      <c r="I19" s="8"/>
      <c r="J19" s="8"/>
      <c r="K19" s="8"/>
      <c r="L19" s="8"/>
      <c r="M19" s="8"/>
      <c r="N19" s="8"/>
      <c r="O19" s="8"/>
      <c r="P19" s="8"/>
      <c r="Q19" s="8"/>
      <c r="R19" s="8"/>
      <c r="S19" s="8"/>
      <c r="T19" s="38"/>
      <c r="U19" s="8"/>
      <c r="V19" s="8"/>
      <c r="W19" s="8"/>
      <c r="X19" s="8"/>
      <c r="Y19" s="31"/>
    </row>
    <row r="20" spans="5:25" x14ac:dyDescent="0.25">
      <c r="E20" s="24"/>
      <c r="F20" s="8"/>
      <c r="G20" s="8"/>
      <c r="H20" s="32"/>
      <c r="I20" s="8"/>
      <c r="J20" s="8"/>
      <c r="K20" s="8"/>
      <c r="L20" s="8"/>
      <c r="M20" s="8"/>
      <c r="N20" s="8"/>
      <c r="O20" s="8"/>
      <c r="P20" s="8"/>
      <c r="Q20" s="8"/>
      <c r="R20" s="8"/>
      <c r="S20" s="28">
        <v>3</v>
      </c>
      <c r="T20" s="38"/>
      <c r="U20" s="28">
        <v>6</v>
      </c>
      <c r="V20" s="8"/>
      <c r="W20" s="8"/>
      <c r="X20" s="8"/>
      <c r="Y20" s="9"/>
    </row>
    <row r="21" spans="5:25" ht="15.75" thickBot="1" x14ac:dyDescent="0.3">
      <c r="E21" s="24"/>
      <c r="F21" s="8"/>
      <c r="G21" s="8"/>
      <c r="H21" s="8"/>
      <c r="I21" s="8"/>
      <c r="J21" s="8"/>
      <c r="K21" s="8"/>
      <c r="L21" s="8"/>
      <c r="M21" s="8"/>
      <c r="N21" s="8"/>
      <c r="O21" s="8"/>
      <c r="P21" s="8"/>
      <c r="Q21" s="8"/>
      <c r="R21" s="8"/>
      <c r="S21" s="8"/>
      <c r="T21" s="39"/>
      <c r="U21" s="8"/>
      <c r="V21" s="8"/>
      <c r="W21" s="8"/>
      <c r="X21" s="8"/>
      <c r="Y21" s="9"/>
    </row>
    <row r="22" spans="5:25" ht="15.75" thickBot="1" x14ac:dyDescent="0.3">
      <c r="E22" s="33"/>
      <c r="F22" s="19"/>
      <c r="G22" s="19"/>
      <c r="H22" s="19"/>
      <c r="I22" s="19"/>
      <c r="J22" s="19"/>
      <c r="K22" s="19"/>
      <c r="L22" s="19"/>
      <c r="M22" s="19"/>
      <c r="N22" s="19"/>
      <c r="O22" s="19"/>
      <c r="P22" s="19"/>
      <c r="Q22" s="19"/>
      <c r="R22" s="19"/>
      <c r="S22" s="19"/>
      <c r="T22" s="19"/>
      <c r="U22" s="19"/>
      <c r="V22" s="19"/>
      <c r="W22" s="19"/>
      <c r="X22" s="19"/>
      <c r="Y22" s="21"/>
    </row>
    <row r="23" spans="5:25" x14ac:dyDescent="0.25">
      <c r="F23" s="4"/>
      <c r="J23" s="4"/>
      <c r="K23" s="4"/>
      <c r="L23" s="4"/>
      <c r="P23" s="4"/>
      <c r="Q23" s="4"/>
      <c r="R23" s="4"/>
      <c r="V23" s="4"/>
    </row>
  </sheetData>
  <mergeCells count="5">
    <mergeCell ref="E1:Y1"/>
    <mergeCell ref="F13:L13"/>
    <mergeCell ref="P13:Y13"/>
    <mergeCell ref="T15:T21"/>
    <mergeCell ref="H17:H19"/>
  </mergeCells>
  <conditionalFormatting sqref="G3 G5 G8 G10 M3 M5 M8 M10 S3 S5 S8 S10">
    <cfRule type="expression" dxfId="11" priority="4">
      <formula>IF(OR(AND(F3&lt;&gt;"",F4=""),AND(F3="",F4&lt;&gt;"")),1)</formula>
    </cfRule>
    <cfRule type="expression" dxfId="10" priority="6">
      <formula>IF(AND(F3&lt;&gt;"",F4&lt;&gt;""),1)</formula>
    </cfRule>
  </conditionalFormatting>
  <conditionalFormatting sqref="O3 O5 O8 O10 U3 U5 U8 U10 I3 I5 I8 I10">
    <cfRule type="expression" dxfId="9" priority="3">
      <formula>IF(OR(AND(J3&lt;&gt;"",J4=""),AND(J3="",J4&lt;&gt;"")),1)</formula>
    </cfRule>
  </conditionalFormatting>
  <conditionalFormatting sqref="O3 O5 O8 O10 U3 U5 U8 U10 I3 I5 I8 I10">
    <cfRule type="expression" dxfId="8" priority="5">
      <formula>IF(AND(J3&lt;&gt;"",J4&lt;&gt;""),1)</formula>
    </cfRule>
  </conditionalFormatting>
  <conditionalFormatting sqref="J15:J18 W15:W18">
    <cfRule type="expression" dxfId="7" priority="2">
      <formula>IF(L15&lt;&gt;"",1)</formula>
    </cfRule>
  </conditionalFormatting>
  <conditionalFormatting sqref="J15:J18 W15:W18">
    <cfRule type="expression" dxfId="6" priority="1">
      <formula>IF(L15="",1)</formula>
    </cfRule>
  </conditionalFormatting>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Novodia">
                <anchor moveWithCells="1" sizeWithCells="1">
                  <from>
                    <xdr:col>0</xdr:col>
                    <xdr:colOff>76200</xdr:colOff>
                    <xdr:row>7</xdr:row>
                    <xdr:rowOff>57150</xdr:rowOff>
                  </from>
                  <to>
                    <xdr:col>0</xdr:col>
                    <xdr:colOff>704850</xdr:colOff>
                    <xdr:row>9</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CC699-7B5C-4C7A-8168-092BA2D86E04}">
  <sheetPr codeName="Planilha9"/>
  <dimension ref="B1:AE23"/>
  <sheetViews>
    <sheetView tabSelected="1" workbookViewId="0">
      <selection activeCell="E1" sqref="E1:Y1"/>
    </sheetView>
  </sheetViews>
  <sheetFormatPr defaultRowHeight="15" outlineLevelCol="1" x14ac:dyDescent="0.25"/>
  <cols>
    <col min="1" max="1" width="11.140625" style="1" customWidth="1"/>
    <col min="2" max="2" width="21.85546875" style="1" bestFit="1" customWidth="1"/>
    <col min="3" max="3" width="11.7109375" style="1" customWidth="1"/>
    <col min="4" max="4" width="7.85546875" style="1" customWidth="1"/>
    <col min="5" max="5" width="15.5703125" style="1" bestFit="1" customWidth="1"/>
    <col min="6" max="6" width="6.7109375" style="1" bestFit="1" customWidth="1"/>
    <col min="7" max="7" width="3" style="1" customWidth="1"/>
    <col min="8" max="8" width="9.7109375" style="1" customWidth="1"/>
    <col min="9" max="9" width="6.7109375" style="1" bestFit="1" customWidth="1"/>
    <col min="10" max="10" width="8.42578125" style="1" bestFit="1" customWidth="1"/>
    <col min="11" max="11" width="1.140625" style="1" customWidth="1"/>
    <col min="12" max="12" width="7.140625" style="1" bestFit="1" customWidth="1"/>
    <col min="13" max="13" width="3.140625" style="1" customWidth="1"/>
    <col min="14" max="16" width="6.7109375" style="1" bestFit="1" customWidth="1"/>
    <col min="17" max="17" width="1.140625" style="1" customWidth="1"/>
    <col min="18" max="19" width="6.7109375" style="1" bestFit="1" customWidth="1"/>
    <col min="20" max="20" width="9.7109375" style="1" customWidth="1"/>
    <col min="21" max="21" width="3.140625" style="1" customWidth="1"/>
    <col min="22" max="22" width="6.7109375" style="1" bestFit="1" customWidth="1"/>
    <col min="23" max="23" width="8.85546875" style="1" bestFit="1" customWidth="1"/>
    <col min="24" max="24" width="1.140625" style="1" customWidth="1"/>
    <col min="25" max="25" width="8.85546875" style="1" customWidth="1"/>
    <col min="26" max="26" width="3" style="1" customWidth="1"/>
    <col min="27" max="27" width="5.7109375" style="1" bestFit="1" customWidth="1"/>
    <col min="28" max="28" width="34.5703125" style="1" customWidth="1"/>
    <col min="29" max="29" width="3" style="3" hidden="1" customWidth="1" outlineLevel="1"/>
    <col min="30" max="30" width="29.7109375" style="1" hidden="1" customWidth="1" outlineLevel="1"/>
    <col min="31" max="31" width="9.140625" style="1" collapsed="1"/>
    <col min="32" max="16384" width="9.140625" style="1"/>
  </cols>
  <sheetData>
    <row r="1" spans="2:30" ht="15.75" thickBot="1" x14ac:dyDescent="0.3">
      <c r="E1" s="34" t="s">
        <v>0</v>
      </c>
      <c r="F1" s="35"/>
      <c r="G1" s="35"/>
      <c r="H1" s="35"/>
      <c r="I1" s="35"/>
      <c r="J1" s="35"/>
      <c r="K1" s="35"/>
      <c r="L1" s="35"/>
      <c r="M1" s="35"/>
      <c r="N1" s="35"/>
      <c r="O1" s="35"/>
      <c r="P1" s="35"/>
      <c r="Q1" s="35"/>
      <c r="R1" s="35"/>
      <c r="S1" s="35"/>
      <c r="T1" s="35"/>
      <c r="U1" s="35"/>
      <c r="V1" s="35"/>
      <c r="W1" s="35"/>
      <c r="X1" s="35"/>
      <c r="Y1" s="36"/>
      <c r="Z1" s="2"/>
      <c r="AA1" s="2"/>
      <c r="AC1" s="3">
        <f>IF(AND(L3&lt;&gt;"",L5&lt;&gt;"",L8&lt;&gt;"",L10&lt;&gt;"",P3&lt;&gt;"",P5&lt;&gt;"",P8&lt;&gt;"",P10&lt;&gt;"",F3&lt;&gt;"",F5&lt;&gt;"",F8&lt;&gt;"",F10&lt;&gt;"",J3&lt;&gt;"",J5&lt;&gt;"",J8&lt;&gt;"",J10&lt;&gt;"",R3&lt;&gt;"",R5&lt;&gt;"",R8&lt;&gt;"",R10&lt;&gt;"",V3&lt;&gt;"",V5&lt;&gt;"",V8&lt;&gt;"",V10&lt;&gt;""),1,0)</f>
        <v>0</v>
      </c>
      <c r="AD1" s="1" t="s">
        <v>37</v>
      </c>
    </row>
    <row r="2" spans="2:30" ht="15.75" thickBot="1" x14ac:dyDescent="0.3">
      <c r="E2" s="7" t="s">
        <v>34</v>
      </c>
      <c r="F2" s="8"/>
      <c r="G2" s="8"/>
      <c r="H2" s="8"/>
      <c r="I2" s="8"/>
      <c r="J2" s="8"/>
      <c r="K2" s="8"/>
      <c r="L2" s="8"/>
      <c r="M2" s="8"/>
      <c r="N2" s="8"/>
      <c r="O2" s="8"/>
      <c r="P2" s="8"/>
      <c r="Q2" s="8"/>
      <c r="R2" s="8"/>
      <c r="S2" s="8"/>
      <c r="T2" s="8"/>
      <c r="U2" s="8"/>
      <c r="V2" s="8"/>
      <c r="W2" s="8"/>
      <c r="X2" s="8"/>
      <c r="Y2" s="9"/>
      <c r="AC2" s="3">
        <f>IF(AND(L4&lt;&gt;"",L6&lt;&gt;"",L9&lt;&gt;"",L11&lt;&gt;"",P4&lt;&gt;"",P6&lt;&gt;"",P9&lt;&gt;"",P11&lt;&gt;"",F4&lt;&gt;"",F6&lt;&gt;"",F9&lt;&gt;"",F11&lt;&gt;"",J4&lt;&gt;"",J6&lt;&gt;"",J9&lt;&gt;"",J11&lt;&gt;"",R4&lt;&gt;"",R6&lt;&gt;"",R9&lt;&gt;"",R11&lt;&gt;"",V4&lt;&gt;"",V6&lt;&gt;"",V9&lt;&gt;"",V11&lt;&gt;""),1,0)</f>
        <v>0</v>
      </c>
      <c r="AD2" s="1" t="s">
        <v>38</v>
      </c>
    </row>
    <row r="3" spans="2:30" x14ac:dyDescent="0.25">
      <c r="E3" s="10" t="s">
        <v>35</v>
      </c>
      <c r="F3" s="11"/>
      <c r="G3" s="12" t="s">
        <v>2</v>
      </c>
      <c r="H3" s="13"/>
      <c r="I3" s="12" t="s">
        <v>3</v>
      </c>
      <c r="J3" s="11"/>
      <c r="K3" s="8"/>
      <c r="L3" s="11"/>
      <c r="M3" s="12" t="s">
        <v>4</v>
      </c>
      <c r="N3" s="13"/>
      <c r="O3" s="12" t="s">
        <v>5</v>
      </c>
      <c r="P3" s="11"/>
      <c r="Q3" s="8"/>
      <c r="R3" s="11"/>
      <c r="S3" s="12" t="s">
        <v>6</v>
      </c>
      <c r="T3" s="13"/>
      <c r="U3" s="12" t="s">
        <v>7</v>
      </c>
      <c r="V3" s="11"/>
      <c r="W3" s="8"/>
      <c r="X3" s="8"/>
      <c r="Y3" s="9"/>
      <c r="AC3" s="3">
        <f>SUM(AC1:AC2)</f>
        <v>0</v>
      </c>
      <c r="AD3" s="1" t="s">
        <v>39</v>
      </c>
    </row>
    <row r="4" spans="2:30" ht="15.75" thickBot="1" x14ac:dyDescent="0.3">
      <c r="E4" s="14" t="s">
        <v>36</v>
      </c>
      <c r="F4" s="15"/>
      <c r="G4" s="8"/>
      <c r="H4" s="16"/>
      <c r="I4" s="8"/>
      <c r="J4" s="15"/>
      <c r="K4" s="8"/>
      <c r="L4" s="15"/>
      <c r="M4" s="8"/>
      <c r="N4" s="16"/>
      <c r="O4" s="8"/>
      <c r="P4" s="15"/>
      <c r="Q4" s="8"/>
      <c r="R4" s="15"/>
      <c r="S4" s="8"/>
      <c r="T4" s="16"/>
      <c r="U4" s="8"/>
      <c r="V4" s="15"/>
      <c r="W4" s="8"/>
      <c r="X4" s="8"/>
      <c r="Y4" s="9"/>
    </row>
    <row r="5" spans="2:30" x14ac:dyDescent="0.25">
      <c r="E5" s="10" t="s">
        <v>35</v>
      </c>
      <c r="F5" s="11"/>
      <c r="G5" s="12" t="s">
        <v>9</v>
      </c>
      <c r="H5" s="16"/>
      <c r="I5" s="12" t="s">
        <v>10</v>
      </c>
      <c r="J5" s="11"/>
      <c r="K5" s="8"/>
      <c r="L5" s="11"/>
      <c r="M5" s="12" t="s">
        <v>11</v>
      </c>
      <c r="N5" s="16"/>
      <c r="O5" s="12" t="s">
        <v>12</v>
      </c>
      <c r="P5" s="11"/>
      <c r="Q5" s="8"/>
      <c r="R5" s="11"/>
      <c r="S5" s="12" t="s">
        <v>13</v>
      </c>
      <c r="T5" s="16"/>
      <c r="U5" s="12" t="s">
        <v>14</v>
      </c>
      <c r="V5" s="11"/>
      <c r="W5" s="8"/>
      <c r="X5" s="8"/>
      <c r="Y5" s="9"/>
      <c r="AC5" s="3">
        <f>SUM(IF(F3&lt;&gt;"",1,0),IF(F5&lt;&gt;"",1,0),IF(F8&lt;&gt;"",1,0),IF(F10&lt;&gt;"",1,0),IF(J3&lt;&gt;"",1,0),IF(J5&lt;&gt;"",1,0),IF(J8&lt;&gt;"",1,0),IF(J10&lt;&gt;"",1,0),IF(L3&lt;&gt;"",1,0),IF(L5&lt;&gt;"",1,0),IF(L8&lt;&gt;"",1,0),IF(L10&lt;&gt;"",1,0),IF(P3&lt;&gt;"",1,0),IF(P5&lt;&gt;"",1,0),IF(P8&lt;&gt;"",1,0),IF(P10&lt;&gt;"",1,0),IF(R3&lt;&gt;"",1,0),IF(R5&lt;&gt;"",1,0),IF(R8&lt;&gt;"",1,0),IF(R10&lt;&gt;"",1,0),IF(V3&lt;&gt;"",1,0),IF(V5&lt;&gt;"",1,0),IF(V8&lt;&gt;"",1,0),IF(V10&lt;&gt;"",1,0))</f>
        <v>0</v>
      </c>
      <c r="AD5" s="1" t="s">
        <v>40</v>
      </c>
    </row>
    <row r="6" spans="2:30" ht="15.75" thickBot="1" x14ac:dyDescent="0.3">
      <c r="E6" s="14" t="s">
        <v>36</v>
      </c>
      <c r="F6" s="15"/>
      <c r="G6" s="8"/>
      <c r="H6" s="16"/>
      <c r="I6" s="8"/>
      <c r="J6" s="15"/>
      <c r="K6" s="8"/>
      <c r="L6" s="15"/>
      <c r="M6" s="8"/>
      <c r="N6" s="16"/>
      <c r="O6" s="8"/>
      <c r="P6" s="15"/>
      <c r="Q6" s="8"/>
      <c r="R6" s="15"/>
      <c r="S6" s="8"/>
      <c r="T6" s="16"/>
      <c r="U6" s="8"/>
      <c r="V6" s="15"/>
      <c r="W6" s="8"/>
      <c r="X6" s="8"/>
      <c r="Y6" s="9"/>
      <c r="AC6" s="3">
        <f>SUM(IF(F4&lt;&gt;"",1,0),IF(F6&lt;&gt;"",1,0),IF(F9&lt;&gt;"",1,0),IF(F11&lt;&gt;"",1,0),IF(J4&lt;&gt;"",1,0),IF(J6&lt;&gt;"",1,0),IF(J9&lt;&gt;"",1,0),IF(J11&lt;&gt;"",1,0),IF(L4&lt;&gt;"",1,0),IF(L6&lt;&gt;"",1,0),IF(L9&lt;&gt;"",1,0),IF(L11&lt;&gt;"",1,0),IF(P4&lt;&gt;"",1,0),IF(P6&lt;&gt;"",1,0),IF(P9&lt;&gt;"",1,0),IF(P11&lt;&gt;"",1,0),IF(R4&lt;&gt;"",1,0),IF(R6&lt;&gt;"",1,0),IF(R9&lt;&gt;"",1,0),IF(R11&lt;&gt;"",1,0),IF(V4&lt;&gt;"",1,0),IF(V6&lt;&gt;"",1,0),IF(V9&lt;&gt;"",1,0),IF(V11&lt;&gt;"",1,0))</f>
        <v>0</v>
      </c>
      <c r="AD6" s="1" t="s">
        <v>41</v>
      </c>
    </row>
    <row r="7" spans="2:30" ht="15.75" thickBot="1" x14ac:dyDescent="0.3">
      <c r="E7" s="8"/>
      <c r="F7" s="8"/>
      <c r="G7" s="8"/>
      <c r="H7" s="16"/>
      <c r="I7" s="8"/>
      <c r="J7" s="8"/>
      <c r="K7" s="8"/>
      <c r="L7" s="8"/>
      <c r="M7" s="8"/>
      <c r="N7" s="16"/>
      <c r="O7" s="8"/>
      <c r="P7" s="8"/>
      <c r="Q7" s="8"/>
      <c r="R7" s="8"/>
      <c r="S7" s="8"/>
      <c r="T7" s="16"/>
      <c r="U7" s="8"/>
      <c r="V7" s="8"/>
      <c r="W7" s="8"/>
      <c r="X7" s="8"/>
      <c r="Y7" s="9"/>
      <c r="AC7" s="3">
        <v>24</v>
      </c>
      <c r="AD7" s="1" t="s">
        <v>26</v>
      </c>
    </row>
    <row r="8" spans="2:30" x14ac:dyDescent="0.25">
      <c r="B8" s="17" t="s">
        <v>27</v>
      </c>
      <c r="C8" s="5">
        <v>43490</v>
      </c>
      <c r="E8" s="10" t="s">
        <v>35</v>
      </c>
      <c r="F8" s="11"/>
      <c r="G8" s="12" t="s">
        <v>15</v>
      </c>
      <c r="H8" s="16"/>
      <c r="I8" s="12" t="s">
        <v>16</v>
      </c>
      <c r="J8" s="11"/>
      <c r="K8" s="8"/>
      <c r="L8" s="11"/>
      <c r="M8" s="12" t="s">
        <v>17</v>
      </c>
      <c r="N8" s="16"/>
      <c r="O8" s="12" t="s">
        <v>18</v>
      </c>
      <c r="P8" s="11"/>
      <c r="Q8" s="8"/>
      <c r="R8" s="11"/>
      <c r="S8" s="12" t="s">
        <v>19</v>
      </c>
      <c r="T8" s="16"/>
      <c r="U8" s="12" t="s">
        <v>20</v>
      </c>
      <c r="V8" s="11"/>
      <c r="W8" s="8"/>
      <c r="X8" s="8"/>
      <c r="Y8" s="9"/>
    </row>
    <row r="9" spans="2:30" ht="15.75" thickBot="1" x14ac:dyDescent="0.3">
      <c r="B9" s="17" t="s">
        <v>42</v>
      </c>
      <c r="C9" s="6">
        <f>AC7-AC5</f>
        <v>24</v>
      </c>
      <c r="E9" s="14" t="s">
        <v>36</v>
      </c>
      <c r="F9" s="15"/>
      <c r="G9" s="8"/>
      <c r="H9" s="16"/>
      <c r="I9" s="8"/>
      <c r="J9" s="15"/>
      <c r="K9" s="8"/>
      <c r="L9" s="15"/>
      <c r="M9" s="8"/>
      <c r="N9" s="16"/>
      <c r="O9" s="8"/>
      <c r="P9" s="15"/>
      <c r="Q9" s="8"/>
      <c r="R9" s="15"/>
      <c r="S9" s="8"/>
      <c r="T9" s="16"/>
      <c r="U9" s="8"/>
      <c r="V9" s="15"/>
      <c r="W9" s="8"/>
      <c r="X9" s="8"/>
      <c r="Y9" s="9"/>
    </row>
    <row r="10" spans="2:30" ht="15.75" thickBot="1" x14ac:dyDescent="0.3">
      <c r="B10" s="17" t="s">
        <v>43</v>
      </c>
      <c r="C10" s="6">
        <f>AC7-AC6</f>
        <v>24</v>
      </c>
      <c r="E10" s="10" t="s">
        <v>35</v>
      </c>
      <c r="F10" s="11"/>
      <c r="G10" s="12" t="s">
        <v>21</v>
      </c>
      <c r="H10" s="18"/>
      <c r="I10" s="12" t="s">
        <v>22</v>
      </c>
      <c r="J10" s="11"/>
      <c r="K10" s="8"/>
      <c r="L10" s="11"/>
      <c r="M10" s="12" t="s">
        <v>23</v>
      </c>
      <c r="N10" s="18"/>
      <c r="O10" s="12" t="s">
        <v>23</v>
      </c>
      <c r="P10" s="11"/>
      <c r="Q10" s="8"/>
      <c r="R10" s="11"/>
      <c r="S10" s="12" t="s">
        <v>24</v>
      </c>
      <c r="T10" s="18"/>
      <c r="U10" s="12" t="s">
        <v>25</v>
      </c>
      <c r="V10" s="11"/>
      <c r="W10" s="8"/>
      <c r="X10" s="8"/>
      <c r="Y10" s="9"/>
    </row>
    <row r="11" spans="2:30" ht="15.75" thickBot="1" x14ac:dyDescent="0.3">
      <c r="E11" s="14" t="s">
        <v>36</v>
      </c>
      <c r="F11" s="15"/>
      <c r="G11" s="19"/>
      <c r="H11" s="19"/>
      <c r="I11" s="19"/>
      <c r="J11" s="15"/>
      <c r="K11" s="20"/>
      <c r="L11" s="15"/>
      <c r="M11" s="19"/>
      <c r="N11" s="19"/>
      <c r="O11" s="19"/>
      <c r="P11" s="15"/>
      <c r="Q11" s="20"/>
      <c r="R11" s="15"/>
      <c r="S11" s="19"/>
      <c r="T11" s="19"/>
      <c r="U11" s="19"/>
      <c r="V11" s="15"/>
      <c r="W11" s="19"/>
      <c r="X11" s="19"/>
      <c r="Y11" s="21"/>
    </row>
    <row r="12" spans="2:30" ht="15.75" thickBot="1" x14ac:dyDescent="0.3">
      <c r="E12" s="8"/>
      <c r="F12" s="8"/>
      <c r="G12" s="8"/>
      <c r="H12" s="8"/>
      <c r="I12" s="8"/>
      <c r="J12" s="8"/>
      <c r="K12" s="8"/>
      <c r="L12" s="8"/>
      <c r="M12" s="8"/>
      <c r="N12" s="8"/>
      <c r="O12" s="8"/>
      <c r="P12" s="8"/>
      <c r="Q12" s="8"/>
      <c r="R12" s="8"/>
      <c r="S12" s="8"/>
      <c r="T12" s="8"/>
      <c r="U12" s="8"/>
      <c r="V12" s="8"/>
      <c r="W12" s="8"/>
      <c r="X12" s="8"/>
      <c r="Y12" s="8"/>
    </row>
    <row r="13" spans="2:30" ht="15.75" thickBot="1" x14ac:dyDescent="0.3">
      <c r="E13" s="22"/>
      <c r="F13" s="34" t="s">
        <v>1</v>
      </c>
      <c r="G13" s="35"/>
      <c r="H13" s="35"/>
      <c r="I13" s="35"/>
      <c r="J13" s="35"/>
      <c r="K13" s="35"/>
      <c r="L13" s="36"/>
      <c r="M13" s="23"/>
      <c r="N13" s="23"/>
      <c r="O13" s="23"/>
      <c r="P13" s="34" t="s">
        <v>8</v>
      </c>
      <c r="Q13" s="35"/>
      <c r="R13" s="35"/>
      <c r="S13" s="35"/>
      <c r="T13" s="35"/>
      <c r="U13" s="35"/>
      <c r="V13" s="35"/>
      <c r="W13" s="35"/>
      <c r="X13" s="35"/>
      <c r="Y13" s="36"/>
    </row>
    <row r="14" spans="2:30" ht="15.75" thickBot="1" x14ac:dyDescent="0.3">
      <c r="E14" s="24"/>
      <c r="F14" s="8"/>
      <c r="G14" s="8"/>
      <c r="H14" s="8"/>
      <c r="I14" s="8"/>
      <c r="J14" s="25" t="s">
        <v>28</v>
      </c>
      <c r="K14" s="26"/>
      <c r="L14" s="27" t="s">
        <v>29</v>
      </c>
      <c r="M14" s="8"/>
      <c r="N14" s="8"/>
      <c r="O14" s="8"/>
      <c r="P14" s="8"/>
      <c r="Q14" s="8"/>
      <c r="R14" s="8"/>
      <c r="S14" s="8"/>
      <c r="T14" s="8"/>
      <c r="U14" s="8"/>
      <c r="V14" s="8"/>
      <c r="W14" s="25" t="s">
        <v>28</v>
      </c>
      <c r="X14" s="26"/>
      <c r="Y14" s="27" t="s">
        <v>29</v>
      </c>
    </row>
    <row r="15" spans="2:30" x14ac:dyDescent="0.25">
      <c r="E15" s="24"/>
      <c r="F15" s="8"/>
      <c r="G15" s="8"/>
      <c r="H15" s="8"/>
      <c r="I15" s="8"/>
      <c r="J15" s="10" t="s">
        <v>30</v>
      </c>
      <c r="K15" s="8"/>
      <c r="L15" s="11"/>
      <c r="M15" s="8"/>
      <c r="N15" s="8"/>
      <c r="O15" s="8"/>
      <c r="P15" s="8"/>
      <c r="Q15" s="8"/>
      <c r="R15" s="8"/>
      <c r="S15" s="8"/>
      <c r="T15" s="37"/>
      <c r="U15" s="8"/>
      <c r="V15" s="8"/>
      <c r="W15" s="10" t="s">
        <v>30</v>
      </c>
      <c r="X15" s="8"/>
      <c r="Y15" s="11"/>
    </row>
    <row r="16" spans="2:30" ht="15.75" thickBot="1" x14ac:dyDescent="0.3">
      <c r="E16" s="24"/>
      <c r="F16" s="8"/>
      <c r="G16" s="8"/>
      <c r="H16" s="28">
        <v>2</v>
      </c>
      <c r="I16" s="8"/>
      <c r="J16" s="14" t="s">
        <v>31</v>
      </c>
      <c r="K16" s="8"/>
      <c r="L16" s="29"/>
      <c r="M16" s="8"/>
      <c r="N16" s="8"/>
      <c r="O16" s="8"/>
      <c r="P16" s="8"/>
      <c r="Q16" s="8"/>
      <c r="R16" s="8"/>
      <c r="S16" s="28">
        <v>1</v>
      </c>
      <c r="T16" s="38"/>
      <c r="U16" s="28">
        <v>4</v>
      </c>
      <c r="V16" s="8"/>
      <c r="W16" s="14" t="s">
        <v>31</v>
      </c>
      <c r="X16" s="8"/>
      <c r="Y16" s="29"/>
    </row>
    <row r="17" spans="5:25" x14ac:dyDescent="0.25">
      <c r="E17" s="24"/>
      <c r="F17" s="8"/>
      <c r="G17" s="8"/>
      <c r="H17" s="37"/>
      <c r="I17" s="8"/>
      <c r="J17" s="10" t="s">
        <v>32</v>
      </c>
      <c r="K17" s="8"/>
      <c r="L17" s="30"/>
      <c r="M17" s="8"/>
      <c r="N17" s="8"/>
      <c r="O17" s="8"/>
      <c r="P17" s="8"/>
      <c r="Q17" s="8"/>
      <c r="R17" s="8"/>
      <c r="S17" s="8"/>
      <c r="T17" s="38"/>
      <c r="U17" s="8"/>
      <c r="V17" s="8"/>
      <c r="W17" s="10" t="s">
        <v>32</v>
      </c>
      <c r="X17" s="8"/>
      <c r="Y17" s="30"/>
    </row>
    <row r="18" spans="5:25" ht="15.75" thickBot="1" x14ac:dyDescent="0.3">
      <c r="E18" s="24"/>
      <c r="F18" s="8"/>
      <c r="G18" s="28">
        <v>1</v>
      </c>
      <c r="H18" s="38"/>
      <c r="I18" s="28">
        <v>3</v>
      </c>
      <c r="J18" s="14" t="s">
        <v>33</v>
      </c>
      <c r="K18" s="8"/>
      <c r="L18" s="29"/>
      <c r="M18" s="8"/>
      <c r="N18" s="8"/>
      <c r="O18" s="8"/>
      <c r="P18" s="8"/>
      <c r="Q18" s="8"/>
      <c r="R18" s="8"/>
      <c r="S18" s="28">
        <v>2</v>
      </c>
      <c r="T18" s="38"/>
      <c r="U18" s="28">
        <v>5</v>
      </c>
      <c r="V18" s="8"/>
      <c r="W18" s="14" t="s">
        <v>33</v>
      </c>
      <c r="X18" s="8"/>
      <c r="Y18" s="29"/>
    </row>
    <row r="19" spans="5:25" ht="15.75" thickBot="1" x14ac:dyDescent="0.3">
      <c r="E19" s="24"/>
      <c r="F19" s="8"/>
      <c r="G19" s="8"/>
      <c r="H19" s="39"/>
      <c r="I19" s="8"/>
      <c r="J19" s="8"/>
      <c r="K19" s="8"/>
      <c r="L19" s="8"/>
      <c r="M19" s="8"/>
      <c r="N19" s="8"/>
      <c r="O19" s="8"/>
      <c r="P19" s="8"/>
      <c r="Q19" s="8"/>
      <c r="R19" s="8"/>
      <c r="S19" s="8"/>
      <c r="T19" s="38"/>
      <c r="U19" s="8"/>
      <c r="V19" s="8"/>
      <c r="W19" s="8"/>
      <c r="X19" s="8"/>
      <c r="Y19" s="31"/>
    </row>
    <row r="20" spans="5:25" x14ac:dyDescent="0.25">
      <c r="E20" s="24"/>
      <c r="F20" s="8"/>
      <c r="G20" s="8"/>
      <c r="H20" s="32"/>
      <c r="I20" s="8"/>
      <c r="J20" s="8"/>
      <c r="K20" s="8"/>
      <c r="L20" s="8"/>
      <c r="M20" s="8"/>
      <c r="N20" s="8"/>
      <c r="O20" s="8"/>
      <c r="P20" s="8"/>
      <c r="Q20" s="8"/>
      <c r="R20" s="8"/>
      <c r="S20" s="28">
        <v>3</v>
      </c>
      <c r="T20" s="38"/>
      <c r="U20" s="28">
        <v>6</v>
      </c>
      <c r="V20" s="8"/>
      <c r="W20" s="8"/>
      <c r="X20" s="8"/>
      <c r="Y20" s="9"/>
    </row>
    <row r="21" spans="5:25" ht="15.75" thickBot="1" x14ac:dyDescent="0.3">
      <c r="E21" s="24"/>
      <c r="F21" s="8"/>
      <c r="G21" s="8"/>
      <c r="H21" s="8"/>
      <c r="I21" s="8"/>
      <c r="J21" s="8"/>
      <c r="K21" s="8"/>
      <c r="L21" s="8"/>
      <c r="M21" s="8"/>
      <c r="N21" s="8"/>
      <c r="O21" s="8"/>
      <c r="P21" s="8"/>
      <c r="Q21" s="8"/>
      <c r="R21" s="8"/>
      <c r="S21" s="8"/>
      <c r="T21" s="39"/>
      <c r="U21" s="8"/>
      <c r="V21" s="8"/>
      <c r="W21" s="8"/>
      <c r="X21" s="8"/>
      <c r="Y21" s="9"/>
    </row>
    <row r="22" spans="5:25" ht="15.75" thickBot="1" x14ac:dyDescent="0.3">
      <c r="E22" s="33"/>
      <c r="F22" s="19"/>
      <c r="G22" s="19"/>
      <c r="H22" s="19"/>
      <c r="I22" s="19"/>
      <c r="J22" s="19"/>
      <c r="K22" s="19"/>
      <c r="L22" s="19"/>
      <c r="M22" s="19"/>
      <c r="N22" s="19"/>
      <c r="O22" s="19"/>
      <c r="P22" s="19"/>
      <c r="Q22" s="19"/>
      <c r="R22" s="19"/>
      <c r="S22" s="19"/>
      <c r="T22" s="19"/>
      <c r="U22" s="19"/>
      <c r="V22" s="19"/>
      <c r="W22" s="19"/>
      <c r="X22" s="19"/>
      <c r="Y22" s="21"/>
    </row>
    <row r="23" spans="5:25" x14ac:dyDescent="0.25">
      <c r="F23" s="4"/>
      <c r="J23" s="4"/>
      <c r="K23" s="4"/>
      <c r="L23" s="4"/>
      <c r="P23" s="4"/>
      <c r="Q23" s="4"/>
      <c r="R23" s="4"/>
      <c r="V23" s="4"/>
    </row>
  </sheetData>
  <mergeCells count="5">
    <mergeCell ref="E1:Y1"/>
    <mergeCell ref="F13:L13"/>
    <mergeCell ref="P13:Y13"/>
    <mergeCell ref="T15:T21"/>
    <mergeCell ref="H17:H19"/>
  </mergeCells>
  <conditionalFormatting sqref="G3 G5 G8 G10 M3 M5 M8 M10 S3 S5 S8 S10">
    <cfRule type="expression" dxfId="5" priority="4">
      <formula>IF(OR(AND(F3&lt;&gt;"",F4=""),AND(F3="",F4&lt;&gt;"")),1)</formula>
    </cfRule>
    <cfRule type="expression" dxfId="4" priority="6">
      <formula>IF(AND(F3&lt;&gt;"",F4&lt;&gt;""),1)</formula>
    </cfRule>
  </conditionalFormatting>
  <conditionalFormatting sqref="O3 O5 O8 O10 U3 U5 U8 U10 I3 I5 I8 I10">
    <cfRule type="expression" dxfId="3" priority="3">
      <formula>IF(OR(AND(J3&lt;&gt;"",J4=""),AND(J3="",J4&lt;&gt;"")),1)</formula>
    </cfRule>
  </conditionalFormatting>
  <conditionalFormatting sqref="O3 O5 O8 O10 U3 U5 U8 U10 I3 I5 I8 I10">
    <cfRule type="expression" dxfId="2" priority="5">
      <formula>IF(AND(J3&lt;&gt;"",J4&lt;&gt;""),1)</formula>
    </cfRule>
  </conditionalFormatting>
  <conditionalFormatting sqref="J15:J18 W15:W18">
    <cfRule type="expression" dxfId="1" priority="2">
      <formula>IF(L15&lt;&gt;"",1)</formula>
    </cfRule>
  </conditionalFormatting>
  <conditionalFormatting sqref="J15:J18 W15:W18">
    <cfRule type="expression" dxfId="0" priority="1">
      <formula>IF(L15="",1)</formula>
    </cfRule>
  </conditionalFormatting>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ovodia">
                <anchor moveWithCells="1" sizeWithCells="1">
                  <from>
                    <xdr:col>0</xdr:col>
                    <xdr:colOff>76200</xdr:colOff>
                    <xdr:row>7</xdr:row>
                    <xdr:rowOff>57150</xdr:rowOff>
                  </from>
                  <to>
                    <xdr:col>0</xdr:col>
                    <xdr:colOff>704850</xdr:colOff>
                    <xdr:row>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Monday</vt:lpstr>
      <vt:lpstr>Tuesday</vt:lpstr>
      <vt:lpstr>Wednesday</vt:lpstr>
      <vt:lpstr>Thursday</vt:lpstr>
      <vt:lpstr>Friday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Beatriz Noro Messias</cp:lastModifiedBy>
  <dcterms:created xsi:type="dcterms:W3CDTF">2019-01-23T10:46:43Z</dcterms:created>
  <dcterms:modified xsi:type="dcterms:W3CDTF">2023-07-27T08:52:27Z</dcterms:modified>
</cp:coreProperties>
</file>